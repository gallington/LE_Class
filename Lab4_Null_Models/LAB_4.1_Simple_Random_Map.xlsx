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2714935612/WOPIServiceId_TP_BOX_2/WOPIUserId_-/"/>
    </mc:Choice>
  </mc:AlternateContent>
  <xr:revisionPtr revIDLastSave="1" documentId="11_336C785BB20A691ACA0EC310D7A19B405D14AA93" xr6:coauthVersionLast="47" xr6:coauthVersionMax="47" xr10:uidLastSave="{A7DAF9D1-C560-EE43-984B-EC03348AEA20}"/>
  <bookViews>
    <workbookView xWindow="0" yWindow="600" windowWidth="38400" windowHeight="23400" activeTab="1" xr2:uid="{00000000-000D-0000-FFFF-FFFF00000000}"/>
  </bookViews>
  <sheets>
    <sheet name="Instructions" sheetId="1" r:id="rId1"/>
    <sheet name="Distribution of results" sheetId="2" r:id="rId2"/>
    <sheet name="Worksheet 1" sheetId="3" r:id="rId3"/>
    <sheet name="Muyuan Li" sheetId="4" r:id="rId4"/>
    <sheet name="Sydney Crum " sheetId="5" r:id="rId5"/>
    <sheet name="Juan Bedoya" sheetId="6" r:id="rId6"/>
    <sheet name="Cristina Trujillo" sheetId="7" r:id="rId7"/>
    <sheet name="Natalie Wright" sheetId="8" r:id="rId8"/>
    <sheet name="Brianna Reynolds" sheetId="9" r:id="rId9"/>
    <sheet name="Anna Weber" sheetId="10" r:id="rId10"/>
    <sheet name="Quinn Casey" sheetId="11" r:id="rId11"/>
    <sheet name="Kate Fish" sheetId="12" r:id="rId12"/>
    <sheet name="Matthew Marchese" sheetId="13" r:id="rId13"/>
    <sheet name="Espie Ortega-Tapia" sheetId="14" r:id="rId14"/>
    <sheet name="Jordan Dreisbach" sheetId="15" r:id="rId15"/>
    <sheet name="Ailis Wall" sheetId="16" r:id="rId16"/>
    <sheet name="Alicia Harris" sheetId="17" r:id="rId17"/>
    <sheet name="Alexander Gunnerson" sheetId="18" r:id="rId18"/>
    <sheet name="Brooke Iacone" sheetId="19" r:id="rId19"/>
    <sheet name="Evan Magallanes" sheetId="20" r:id="rId20"/>
    <sheet name="Lily Shpak" sheetId="21" r:id="rId21"/>
    <sheet name="Samantha Proulx-Whitcomb" sheetId="22" r:id="rId22"/>
    <sheet name="by equation" sheetId="23" state="hidden" r:id="rId23"/>
    <sheet name="Kelsey Bartlett" sheetId="24" r:id="rId24"/>
    <sheet name="Anne Sheehan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2" l="1"/>
  <c r="O4" i="22"/>
  <c r="P8" i="21"/>
  <c r="O8" i="21"/>
  <c r="O3" i="21"/>
  <c r="K12" i="13"/>
  <c r="J12" i="13"/>
  <c r="I12" i="13"/>
  <c r="H12" i="13"/>
  <c r="G12" i="13"/>
  <c r="F12" i="13"/>
  <c r="E12" i="13"/>
  <c r="D12" i="13"/>
  <c r="C12" i="13"/>
  <c r="B12" i="13"/>
  <c r="K11" i="13"/>
  <c r="J11" i="13"/>
  <c r="I11" i="13"/>
  <c r="H11" i="13"/>
  <c r="G11" i="13"/>
  <c r="F11" i="13"/>
  <c r="E11" i="13"/>
  <c r="D11" i="13"/>
  <c r="C11" i="13"/>
  <c r="B11" i="13"/>
  <c r="K10" i="13"/>
  <c r="J10" i="13"/>
  <c r="I10" i="13"/>
  <c r="H10" i="13"/>
  <c r="G10" i="13"/>
  <c r="F10" i="13"/>
  <c r="E10" i="13"/>
  <c r="D10" i="13"/>
  <c r="C10" i="13"/>
  <c r="B10" i="13"/>
  <c r="K9" i="13"/>
  <c r="J9" i="13"/>
  <c r="I9" i="13"/>
  <c r="H9" i="13"/>
  <c r="G9" i="13"/>
  <c r="F9" i="13"/>
  <c r="E9" i="13"/>
  <c r="D9" i="13"/>
  <c r="C9" i="13"/>
  <c r="B9" i="13"/>
  <c r="K8" i="13"/>
  <c r="J8" i="13"/>
  <c r="I8" i="13"/>
  <c r="H8" i="13"/>
  <c r="G8" i="13"/>
  <c r="F8" i="13"/>
  <c r="E8" i="13"/>
  <c r="D8" i="13"/>
  <c r="C8" i="13"/>
  <c r="B8" i="13"/>
  <c r="K7" i="13"/>
  <c r="J7" i="13"/>
  <c r="I7" i="13"/>
  <c r="H7" i="13"/>
  <c r="G7" i="13"/>
  <c r="F7" i="13"/>
  <c r="E7" i="13"/>
  <c r="D7" i="13"/>
  <c r="C7" i="13"/>
  <c r="B7" i="13"/>
  <c r="K6" i="13"/>
  <c r="J6" i="13"/>
  <c r="I6" i="13"/>
  <c r="H6" i="13"/>
  <c r="G6" i="13"/>
  <c r="F6" i="13"/>
  <c r="E6" i="13"/>
  <c r="D6" i="13"/>
  <c r="C6" i="13"/>
  <c r="B6" i="13"/>
  <c r="K5" i="13"/>
  <c r="J5" i="13"/>
  <c r="I5" i="13"/>
  <c r="H5" i="13"/>
  <c r="G5" i="13"/>
  <c r="F5" i="13"/>
  <c r="E5" i="13"/>
  <c r="D5" i="13"/>
  <c r="C5" i="13"/>
  <c r="B5" i="13"/>
  <c r="K4" i="13"/>
  <c r="J4" i="13"/>
  <c r="I4" i="13"/>
  <c r="H4" i="13"/>
  <c r="G4" i="13"/>
  <c r="F4" i="13"/>
  <c r="E4" i="13"/>
  <c r="D4" i="13"/>
  <c r="C4" i="13"/>
  <c r="B4" i="13"/>
  <c r="K3" i="13"/>
  <c r="J3" i="13"/>
  <c r="I3" i="13"/>
  <c r="H3" i="13"/>
  <c r="G3" i="13"/>
  <c r="F3" i="13"/>
  <c r="E3" i="13"/>
  <c r="D3" i="13"/>
  <c r="C3" i="13"/>
  <c r="B3" i="13"/>
  <c r="K2" i="13"/>
  <c r="J2" i="13"/>
  <c r="I2" i="13"/>
  <c r="H2" i="13"/>
  <c r="G2" i="13"/>
  <c r="F2" i="13"/>
  <c r="E2" i="13"/>
  <c r="D2" i="13"/>
  <c r="C2" i="13"/>
  <c r="B2" i="13"/>
  <c r="O4" i="10"/>
  <c r="P8" i="8"/>
  <c r="O4" i="8"/>
  <c r="O3" i="8"/>
  <c r="O4" i="7"/>
  <c r="P9" i="4"/>
  <c r="O9" i="4"/>
</calcChain>
</file>

<file path=xl/sharedStrings.xml><?xml version="1.0" encoding="utf-8"?>
<sst xmlns="http://schemas.openxmlformats.org/spreadsheetml/2006/main" count="303" uniqueCount="64">
  <si>
    <r>
      <rPr>
        <sz val="10"/>
        <color theme="1"/>
        <rFont val="Arial"/>
        <family val="2"/>
      </rPr>
      <t xml:space="preserve">In this lab you will be creating a simple binary map depicting a random distribution of a habitat that has an approximate proportion of </t>
    </r>
    <r>
      <rPr>
        <i/>
        <sz val="10"/>
        <color theme="1"/>
        <rFont val="Arial"/>
        <family val="2"/>
      </rPr>
      <t xml:space="preserve">p = </t>
    </r>
    <r>
      <rPr>
        <sz val="10"/>
        <color theme="1"/>
        <rFont val="Arial"/>
        <family val="2"/>
      </rPr>
      <t xml:space="preserve"> 0.5. </t>
    </r>
  </si>
  <si>
    <t xml:space="preserve">Instructions: </t>
  </si>
  <si>
    <t>Make a copy of the Worksheet 1 sheet and paste it into this same document.</t>
  </si>
  <si>
    <t>Rename the sheet with your name</t>
  </si>
  <si>
    <t>Follow the instructions below to color the squares in the grid</t>
  </si>
  <si>
    <t>The calculate the metrics in the table</t>
  </si>
  <si>
    <t>STEPS for Worksheet 1:</t>
  </si>
  <si>
    <t>1. Find a coin or something else 2-sided that you can flip</t>
  </si>
  <si>
    <t xml:space="preserve">2. Repeatedly flip a coin to determine the habitat type of each cell. If heads, then the habitat type equals 0. If tails, then the habitat type equals 1.
</t>
  </si>
  <si>
    <t>3. Analyze the map by coloring in all sites with habitat type = 1</t>
  </si>
  <si>
    <t>4. Count the total number of colored cells, the total amount of edge, the number of clusters as defined by the nearest-neighbor rule, and the size of the largest cluster</t>
  </si>
  <si>
    <t>5. Using the next-nearest-neighbor rule, recalculate the number of clusters and thesize of the largest cluster. (NOTE: the total number of colored cells and the total amount of edge will not be affected by this change in neighborhood rule.)</t>
  </si>
  <si>
    <t xml:space="preserve"> </t>
  </si>
  <si>
    <r>
      <rPr>
        <b/>
        <i/>
        <sz val="10"/>
        <color theme="1"/>
        <rFont val="Arial"/>
        <family val="2"/>
      </rPr>
      <t xml:space="preserve">p </t>
    </r>
    <r>
      <rPr>
        <b/>
        <sz val="10"/>
        <color theme="1"/>
        <rFont val="Arial"/>
        <family val="2"/>
      </rPr>
      <t>for the habitat</t>
    </r>
  </si>
  <si>
    <t>What is the proportion of grid cells that you coded "1"?</t>
  </si>
  <si>
    <t>Largest patch</t>
  </si>
  <si>
    <t>Assume each grid cell = 1 unit, so patch size = # of grid squares</t>
  </si>
  <si>
    <t>Edges</t>
  </si>
  <si>
    <t>Assume each grid cell = 1 x 1 , so each edge = 1 unit.</t>
  </si>
  <si>
    <t xml:space="preserve">Edges are only counted on the OUTSIDE of the patch. So, adjacent cells of the </t>
  </si>
  <si>
    <t xml:space="preserve">same type are not counted as edges. Just where two diff types (green and white)  </t>
  </si>
  <si>
    <t>are touching. Also not where a grid cell touches the borders of the 'map'.</t>
  </si>
  <si>
    <t>FINAL STEP:</t>
  </si>
  <si>
    <t>Enter the values from your map into the sheet named "Distribution of results"</t>
  </si>
  <si>
    <t>Enter your values here so we can visualize the distribution</t>
  </si>
  <si>
    <t>4 - neighbor rule</t>
  </si>
  <si>
    <t>8 - neighbor rule</t>
  </si>
  <si>
    <r>
      <rPr>
        <b/>
        <i/>
        <sz val="10"/>
        <color theme="1"/>
        <rFont val="Arial"/>
        <family val="2"/>
      </rPr>
      <t>p</t>
    </r>
    <r>
      <rPr>
        <b/>
        <sz val="10"/>
        <color theme="1"/>
        <rFont val="Arial"/>
        <family val="2"/>
      </rPr>
      <t xml:space="preserve"> </t>
    </r>
  </si>
  <si>
    <t>Number of patches</t>
  </si>
  <si>
    <t>LPI</t>
  </si>
  <si>
    <r>
      <rPr>
        <sz val="10"/>
        <color theme="1"/>
        <rFont val="Arial"/>
        <family val="2"/>
      </rPr>
      <t xml:space="preserve">Distribution of </t>
    </r>
    <r>
      <rPr>
        <i/>
        <sz val="10"/>
        <color theme="1"/>
        <rFont val="Arial"/>
        <family val="2"/>
      </rPr>
      <t xml:space="preserve">p </t>
    </r>
    <r>
      <rPr>
        <sz val="10"/>
        <color theme="1"/>
        <rFont val="Arial"/>
        <family val="2"/>
      </rPr>
      <t>across all of our maps:</t>
    </r>
  </si>
  <si>
    <t>Distribution of the number of patches in our maps</t>
  </si>
  <si>
    <t>QUESTIONS:</t>
  </si>
  <si>
    <t>Attribute</t>
  </si>
  <si>
    <t>Result</t>
  </si>
  <si>
    <t>Total # of habitat cells</t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</si>
  <si>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</si>
  <si>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t>Patch definition rule</t>
  </si>
  <si>
    <t>Nearest (4) neighbor</t>
  </si>
  <si>
    <t>Nearest (8) neighbor</t>
  </si>
  <si>
    <t>Number of patches (NP)</t>
  </si>
  <si>
    <t>Size of largest patch (LPI)</t>
  </si>
  <si>
    <t>Total edge</t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</si>
  <si>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</si>
  <si>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</si>
  <si>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</si>
  <si>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</si>
  <si>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</si>
  <si>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</si>
  <si>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</si>
  <si>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</si>
  <si>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</si>
  <si>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</si>
  <si>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</si>
  <si>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</si>
  <si>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</si>
  <si>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</si>
  <si>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</si>
  <si>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</si>
  <si>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</si>
  <si>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</si>
  <si>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</si>
  <si>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</si>
  <si>
    <r>
      <rPr>
        <i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 for the habitat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</si>
</sst>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b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name val="Arial"/>
      <family val="2"/>
    </font>
    <font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B7E1CD"/>
        <bgColor rgb="FFB7E1CD"/>
      </patternFill>
    </fill>
    <fill>
      <patternFill patternType="solid">
        <fgColor rgb="FF0000FF"/>
        <bgColor rgb="FF0000FF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741B47"/>
        <bgColor rgb="FF741B47"/>
      </patternFill>
    </fill>
    <fill>
      <patternFill patternType="solid">
        <fgColor rgb="FFFFD966"/>
        <bgColor rgb="FFFFD9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1" fillId="4" borderId="0" xfId="0" applyFont="1" applyFill="1"/>
    <xf numFmtId="0" fontId="1" fillId="5" borderId="0" xfId="0" applyFont="1" applyFill="1"/>
    <xf numFmtId="0" fontId="2" fillId="5" borderId="0" xfId="0" applyFont="1" applyFill="1"/>
    <xf numFmtId="0" fontId="5" fillId="0" borderId="0" xfId="0" applyFont="1"/>
    <xf numFmtId="0" fontId="1" fillId="4" borderId="1" xfId="0" applyFont="1" applyFill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3" fillId="0" borderId="1" xfId="0" applyFont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8" fillId="0" borderId="1" xfId="0" applyFont="1" applyBorder="1"/>
    <xf numFmtId="0" fontId="1" fillId="3" borderId="1" xfId="0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3" fillId="0" borderId="2" xfId="0" applyFont="1" applyBorder="1" applyAlignment="1">
      <alignment horizontal="center"/>
    </xf>
    <xf numFmtId="0" fontId="6" fillId="0" borderId="3" xfId="0" applyFont="1" applyBorder="1"/>
  </cellXfs>
  <cellStyles count="1">
    <cellStyle name="Normal" xfId="0" builtinId="0"/>
  </cellStyles>
  <dxfs count="1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workbookViewId="0"/>
  </sheetViews>
  <sheetFormatPr baseColWidth="10" defaultColWidth="12.6640625" defaultRowHeight="15.75" customHeight="1" x14ac:dyDescent="0.15"/>
  <cols>
    <col min="2" max="2" width="58.6640625" customWidth="1"/>
  </cols>
  <sheetData>
    <row r="1" spans="1:7" ht="13" x14ac:dyDescent="0.15">
      <c r="A1" s="1" t="s">
        <v>0</v>
      </c>
      <c r="B1" s="1"/>
      <c r="C1" s="1"/>
      <c r="D1" s="1"/>
      <c r="E1" s="1"/>
      <c r="F1" s="1"/>
      <c r="G1" s="1"/>
    </row>
    <row r="2" spans="1:7" ht="13" x14ac:dyDescent="0.15">
      <c r="A2" s="1"/>
      <c r="B2" s="1"/>
      <c r="C2" s="1"/>
      <c r="D2" s="1"/>
      <c r="E2" s="1"/>
      <c r="F2" s="1"/>
      <c r="G2" s="1"/>
    </row>
    <row r="3" spans="1:7" ht="13" x14ac:dyDescent="0.15">
      <c r="A3" s="1" t="s">
        <v>1</v>
      </c>
      <c r="B3" s="1"/>
      <c r="C3" s="1"/>
      <c r="D3" s="1"/>
      <c r="E3" s="1"/>
      <c r="F3" s="1"/>
      <c r="G3" s="1"/>
    </row>
    <row r="4" spans="1:7" ht="13" x14ac:dyDescent="0.15">
      <c r="A4" s="1"/>
      <c r="B4" s="2" t="s">
        <v>2</v>
      </c>
      <c r="C4" s="1"/>
      <c r="D4" s="1"/>
      <c r="E4" s="1"/>
      <c r="F4" s="1"/>
      <c r="G4" s="1"/>
    </row>
    <row r="5" spans="1:7" ht="13" x14ac:dyDescent="0.15">
      <c r="A5" s="1"/>
      <c r="B5" s="1" t="s">
        <v>3</v>
      </c>
      <c r="C5" s="1"/>
      <c r="D5" s="1"/>
      <c r="E5" s="1"/>
      <c r="F5" s="1"/>
      <c r="G5" s="1"/>
    </row>
    <row r="6" spans="1:7" ht="13" x14ac:dyDescent="0.15">
      <c r="A6" s="1"/>
      <c r="B6" s="1" t="s">
        <v>4</v>
      </c>
      <c r="C6" s="1"/>
      <c r="D6" s="1"/>
      <c r="E6" s="1"/>
      <c r="F6" s="1"/>
      <c r="G6" s="1"/>
    </row>
    <row r="7" spans="1:7" ht="13" x14ac:dyDescent="0.15">
      <c r="A7" s="1"/>
      <c r="B7" s="1" t="s">
        <v>5</v>
      </c>
      <c r="C7" s="1"/>
      <c r="D7" s="1"/>
      <c r="E7" s="1"/>
      <c r="F7" s="1"/>
      <c r="G7" s="1"/>
    </row>
    <row r="8" spans="1:7" ht="13" x14ac:dyDescent="0.15">
      <c r="A8" s="1"/>
      <c r="B8" s="1"/>
      <c r="C8" s="1"/>
      <c r="D8" s="1"/>
      <c r="E8" s="1"/>
      <c r="F8" s="1"/>
      <c r="G8" s="1"/>
    </row>
    <row r="9" spans="1:7" ht="13" x14ac:dyDescent="0.15">
      <c r="A9" s="1"/>
      <c r="B9" s="3" t="s">
        <v>6</v>
      </c>
      <c r="C9" s="1"/>
      <c r="D9" s="1"/>
      <c r="E9" s="4"/>
      <c r="F9" s="1"/>
      <c r="G9" s="1"/>
    </row>
    <row r="10" spans="1:7" ht="18.75" customHeight="1" x14ac:dyDescent="0.15">
      <c r="A10" s="1"/>
      <c r="B10" s="5" t="s">
        <v>7</v>
      </c>
      <c r="C10" s="1"/>
      <c r="D10" s="1"/>
      <c r="E10" s="1"/>
      <c r="F10" s="1"/>
      <c r="G10" s="1"/>
    </row>
    <row r="11" spans="1:7" ht="44.25" customHeight="1" x14ac:dyDescent="0.15">
      <c r="A11" s="1"/>
      <c r="B11" s="5" t="s">
        <v>8</v>
      </c>
      <c r="C11" s="1"/>
      <c r="D11" s="1"/>
      <c r="E11" s="4"/>
      <c r="F11" s="1"/>
      <c r="G11" s="1"/>
    </row>
    <row r="12" spans="1:7" ht="18.75" customHeight="1" x14ac:dyDescent="0.15">
      <c r="B12" s="6" t="s">
        <v>9</v>
      </c>
    </row>
    <row r="13" spans="1:7" ht="42" x14ac:dyDescent="0.15">
      <c r="B13" s="6" t="s">
        <v>10</v>
      </c>
    </row>
    <row r="14" spans="1:7" ht="56" x14ac:dyDescent="0.15">
      <c r="B14" s="6" t="s">
        <v>11</v>
      </c>
    </row>
    <row r="15" spans="1:7" ht="13" x14ac:dyDescent="0.15">
      <c r="B15" s="4" t="s">
        <v>12</v>
      </c>
    </row>
    <row r="16" spans="1:7" ht="13" x14ac:dyDescent="0.15">
      <c r="A16" s="7" t="s">
        <v>13</v>
      </c>
      <c r="B16" s="4" t="s">
        <v>14</v>
      </c>
    </row>
    <row r="17" spans="1:2" ht="13" x14ac:dyDescent="0.15">
      <c r="A17" s="8" t="s">
        <v>15</v>
      </c>
      <c r="B17" s="4" t="s">
        <v>16</v>
      </c>
    </row>
    <row r="18" spans="1:2" ht="13" x14ac:dyDescent="0.15">
      <c r="B18" s="4" t="s">
        <v>12</v>
      </c>
    </row>
    <row r="19" spans="1:2" ht="13" x14ac:dyDescent="0.15">
      <c r="A19" s="8" t="s">
        <v>17</v>
      </c>
      <c r="B19" s="4" t="s">
        <v>18</v>
      </c>
    </row>
    <row r="20" spans="1:2" ht="13" x14ac:dyDescent="0.15">
      <c r="B20" s="4" t="s">
        <v>19</v>
      </c>
    </row>
    <row r="21" spans="1:2" ht="13" x14ac:dyDescent="0.15">
      <c r="B21" s="4" t="s">
        <v>20</v>
      </c>
    </row>
    <row r="22" spans="1:2" ht="13" x14ac:dyDescent="0.15">
      <c r="B22" s="4" t="s">
        <v>21</v>
      </c>
    </row>
    <row r="24" spans="1:2" ht="13" x14ac:dyDescent="0.15">
      <c r="A24" s="8" t="s">
        <v>22</v>
      </c>
      <c r="B24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6"/>
  <sheetViews>
    <sheetView tabSelected="1" workbookViewId="0"/>
  </sheetViews>
  <sheetFormatPr baseColWidth="10" defaultColWidth="12.6640625" defaultRowHeight="15.75" customHeight="1" x14ac:dyDescent="0.15"/>
  <cols>
    <col min="7" max="7" width="17.1640625" customWidth="1"/>
    <col min="8" max="8" width="17.6640625" customWidth="1"/>
    <col min="9" max="9" width="6" customWidth="1"/>
  </cols>
  <sheetData>
    <row r="1" spans="1:15" ht="15.75" customHeight="1" x14ac:dyDescent="0.15">
      <c r="A1" s="4" t="s">
        <v>24</v>
      </c>
      <c r="G1" s="8" t="s">
        <v>25</v>
      </c>
      <c r="H1" s="8" t="s">
        <v>26</v>
      </c>
      <c r="N1" s="8" t="s">
        <v>25</v>
      </c>
      <c r="O1" s="8" t="s">
        <v>26</v>
      </c>
    </row>
    <row r="2" spans="1:15" ht="15.75" customHeight="1" x14ac:dyDescent="0.15">
      <c r="A2" s="9" t="s">
        <v>27</v>
      </c>
      <c r="G2" s="10" t="s">
        <v>28</v>
      </c>
      <c r="H2" s="10" t="s">
        <v>28</v>
      </c>
      <c r="N2" s="10" t="s">
        <v>29</v>
      </c>
      <c r="O2" s="10" t="s">
        <v>29</v>
      </c>
    </row>
    <row r="3" spans="1:15" ht="15.75" customHeight="1" x14ac:dyDescent="0.15">
      <c r="A3" s="11">
        <v>0.44</v>
      </c>
      <c r="B3" s="4" t="s">
        <v>30</v>
      </c>
      <c r="G3" s="11">
        <v>13</v>
      </c>
      <c r="H3" s="11">
        <v>5</v>
      </c>
      <c r="J3" s="4" t="s">
        <v>31</v>
      </c>
      <c r="N3" s="11">
        <v>19</v>
      </c>
      <c r="O3" s="11">
        <v>32</v>
      </c>
    </row>
    <row r="4" spans="1:15" ht="15.75" customHeight="1" x14ac:dyDescent="0.15">
      <c r="A4" s="11">
        <v>0.52</v>
      </c>
      <c r="G4" s="11">
        <v>16</v>
      </c>
      <c r="H4" s="11">
        <v>3</v>
      </c>
      <c r="N4" s="11">
        <v>18</v>
      </c>
      <c r="O4" s="11">
        <v>55</v>
      </c>
    </row>
    <row r="5" spans="1:15" ht="15.75" customHeight="1" x14ac:dyDescent="0.15">
      <c r="A5" s="11">
        <v>0.51</v>
      </c>
      <c r="G5" s="11">
        <v>13</v>
      </c>
      <c r="H5" s="11">
        <v>5</v>
      </c>
      <c r="N5" s="11">
        <v>19</v>
      </c>
      <c r="O5" s="11">
        <v>46</v>
      </c>
    </row>
    <row r="6" spans="1:15" ht="15.75" customHeight="1" x14ac:dyDescent="0.15">
      <c r="A6" s="11">
        <v>0.49</v>
      </c>
      <c r="G6" s="11">
        <v>10</v>
      </c>
      <c r="H6" s="11">
        <v>2</v>
      </c>
      <c r="N6" s="11">
        <v>25</v>
      </c>
      <c r="O6" s="11">
        <v>55</v>
      </c>
    </row>
    <row r="7" spans="1:15" ht="15.75" customHeight="1" x14ac:dyDescent="0.15">
      <c r="A7" s="11">
        <v>0.42</v>
      </c>
      <c r="G7" s="11">
        <v>11</v>
      </c>
      <c r="H7" s="11">
        <v>6</v>
      </c>
      <c r="N7" s="11">
        <v>20</v>
      </c>
      <c r="O7" s="11">
        <v>37</v>
      </c>
    </row>
    <row r="8" spans="1:15" ht="15.75" customHeight="1" x14ac:dyDescent="0.15">
      <c r="A8" s="11">
        <v>0.56999999999999995</v>
      </c>
      <c r="G8" s="11">
        <v>7</v>
      </c>
      <c r="H8" s="11">
        <v>4</v>
      </c>
      <c r="N8" s="11">
        <v>35</v>
      </c>
      <c r="O8" s="11">
        <v>51</v>
      </c>
    </row>
    <row r="9" spans="1:15" ht="15.75" customHeight="1" x14ac:dyDescent="0.15">
      <c r="A9" s="11">
        <v>0.46</v>
      </c>
      <c r="G9" s="11">
        <v>9</v>
      </c>
      <c r="H9" s="11">
        <v>4</v>
      </c>
      <c r="N9" s="11"/>
      <c r="O9" s="11"/>
    </row>
    <row r="10" spans="1:15" ht="15.75" customHeight="1" x14ac:dyDescent="0.15">
      <c r="A10" s="11">
        <v>0.5</v>
      </c>
      <c r="G10" s="11">
        <v>13</v>
      </c>
      <c r="H10" s="11">
        <v>3</v>
      </c>
      <c r="N10" s="11">
        <v>25</v>
      </c>
      <c r="O10" s="11">
        <v>52</v>
      </c>
    </row>
    <row r="11" spans="1:15" ht="15.75" customHeight="1" x14ac:dyDescent="0.15">
      <c r="A11" s="11">
        <v>0.57999999999999996</v>
      </c>
      <c r="G11" s="11">
        <v>14</v>
      </c>
      <c r="H11" s="11">
        <v>3</v>
      </c>
      <c r="N11" s="11">
        <v>26</v>
      </c>
      <c r="O11" s="11">
        <v>56</v>
      </c>
    </row>
    <row r="12" spans="1:15" ht="15.75" customHeight="1" x14ac:dyDescent="0.15">
      <c r="A12" s="11">
        <v>0.51</v>
      </c>
      <c r="G12" s="11">
        <v>12</v>
      </c>
      <c r="H12" s="11">
        <v>2</v>
      </c>
      <c r="N12" s="11"/>
      <c r="O12" s="11"/>
    </row>
    <row r="13" spans="1:15" ht="15.75" customHeight="1" x14ac:dyDescent="0.15">
      <c r="A13" s="11">
        <v>0.59</v>
      </c>
      <c r="G13" s="11">
        <v>8</v>
      </c>
      <c r="H13" s="11">
        <v>1</v>
      </c>
      <c r="N13" s="11">
        <v>23</v>
      </c>
      <c r="O13" s="11">
        <v>65</v>
      </c>
    </row>
    <row r="14" spans="1:15" ht="15.75" customHeight="1" x14ac:dyDescent="0.15">
      <c r="A14" s="12">
        <v>0.36</v>
      </c>
      <c r="G14" s="11">
        <v>11</v>
      </c>
      <c r="H14" s="11">
        <v>3</v>
      </c>
      <c r="N14" s="11">
        <v>14</v>
      </c>
      <c r="O14" s="11">
        <v>19</v>
      </c>
    </row>
    <row r="15" spans="1:15" ht="15.75" customHeight="1" x14ac:dyDescent="0.15">
      <c r="A15" s="13">
        <v>0.46</v>
      </c>
      <c r="G15" s="11">
        <v>12</v>
      </c>
      <c r="H15" s="11">
        <v>6</v>
      </c>
      <c r="N15" s="11">
        <v>96</v>
      </c>
      <c r="O15" s="11">
        <v>74</v>
      </c>
    </row>
    <row r="16" spans="1:15" ht="15.75" customHeight="1" x14ac:dyDescent="0.15">
      <c r="A16" s="11">
        <v>0.48</v>
      </c>
      <c r="G16" s="11">
        <v>14</v>
      </c>
      <c r="H16" s="11">
        <v>4</v>
      </c>
      <c r="N16" s="11">
        <v>28</v>
      </c>
      <c r="O16" s="11">
        <v>57</v>
      </c>
    </row>
    <row r="17" spans="1:15" ht="15.75" customHeight="1" x14ac:dyDescent="0.15">
      <c r="A17" s="11">
        <v>0.5</v>
      </c>
      <c r="G17" s="11">
        <v>9</v>
      </c>
      <c r="H17" s="11">
        <v>1</v>
      </c>
      <c r="N17" s="11">
        <v>11</v>
      </c>
      <c r="O17" s="11">
        <v>53</v>
      </c>
    </row>
    <row r="18" spans="1:15" ht="15.75" customHeight="1" x14ac:dyDescent="0.15">
      <c r="A18" s="11">
        <v>0.54</v>
      </c>
      <c r="G18" s="11">
        <v>18</v>
      </c>
      <c r="H18" s="11">
        <v>2</v>
      </c>
      <c r="N18" s="11">
        <v>36</v>
      </c>
      <c r="O18" s="11">
        <v>56</v>
      </c>
    </row>
    <row r="19" spans="1:15" ht="15.75" customHeight="1" x14ac:dyDescent="0.15">
      <c r="A19" s="11">
        <v>0.56999999999999995</v>
      </c>
      <c r="G19" s="11">
        <v>10</v>
      </c>
      <c r="H19" s="11">
        <v>3</v>
      </c>
      <c r="N19" s="11">
        <v>30</v>
      </c>
      <c r="O19" s="11">
        <v>40</v>
      </c>
    </row>
    <row r="20" spans="1:15" ht="15.75" customHeight="1" x14ac:dyDescent="0.15">
      <c r="A20" s="11">
        <v>0.51</v>
      </c>
      <c r="G20" s="11">
        <v>12</v>
      </c>
      <c r="H20" s="11">
        <v>2</v>
      </c>
      <c r="N20" s="11">
        <v>19</v>
      </c>
      <c r="O20" s="11">
        <v>56</v>
      </c>
    </row>
    <row r="21" spans="1:15" ht="15.75" customHeight="1" x14ac:dyDescent="0.15">
      <c r="A21" s="11"/>
      <c r="G21" s="11">
        <v>12</v>
      </c>
      <c r="H21" s="11">
        <v>2</v>
      </c>
      <c r="N21" s="11"/>
      <c r="O21" s="11"/>
    </row>
    <row r="22" spans="1:15" ht="15.75" customHeight="1" x14ac:dyDescent="0.15">
      <c r="A22" s="11"/>
      <c r="G22" s="11"/>
      <c r="H22" s="11"/>
      <c r="N22" s="11"/>
      <c r="O22" s="11"/>
    </row>
    <row r="23" spans="1:15" ht="15.75" customHeight="1" x14ac:dyDescent="0.15">
      <c r="A23" s="11"/>
      <c r="G23" s="11"/>
      <c r="H23" s="11"/>
      <c r="N23" s="11"/>
      <c r="O23" s="11"/>
    </row>
    <row r="24" spans="1:15" ht="15.75" customHeight="1" x14ac:dyDescent="0.15">
      <c r="A24" s="11"/>
      <c r="G24" s="11"/>
      <c r="H24" s="11"/>
      <c r="N24" s="11"/>
      <c r="O24" s="11"/>
    </row>
    <row r="25" spans="1:15" ht="15.75" customHeight="1" x14ac:dyDescent="0.15">
      <c r="A25" s="11"/>
      <c r="G25" s="11"/>
      <c r="H25" s="11"/>
      <c r="N25" s="11"/>
      <c r="O25" s="11"/>
    </row>
    <row r="26" spans="1:15" ht="15.75" customHeight="1" x14ac:dyDescent="0.15">
      <c r="A26" s="11"/>
      <c r="G26" s="11"/>
      <c r="H26" s="11"/>
      <c r="N26" s="11"/>
      <c r="O2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15"/>
      <c r="C2" s="15"/>
      <c r="D2" s="15"/>
      <c r="E2" s="15"/>
      <c r="F2" s="15"/>
      <c r="G2" s="15"/>
      <c r="H2" s="15"/>
      <c r="I2" s="15"/>
      <c r="J2" s="15"/>
      <c r="K2" s="15"/>
      <c r="N2" s="16" t="s">
        <v>33</v>
      </c>
      <c r="O2" s="36" t="s">
        <v>34</v>
      </c>
      <c r="P2" s="37"/>
    </row>
    <row r="3" spans="1:16" ht="30.75" customHeight="1" x14ac:dyDescent="0.15">
      <c r="B3" s="15"/>
      <c r="C3" s="15"/>
      <c r="D3" s="15"/>
      <c r="E3" s="15"/>
      <c r="F3" s="15"/>
      <c r="G3" s="15"/>
      <c r="H3" s="15"/>
      <c r="I3" s="15"/>
      <c r="J3" s="15"/>
      <c r="K3" s="15"/>
      <c r="N3" s="17" t="s">
        <v>35</v>
      </c>
      <c r="O3" s="17"/>
      <c r="P3" s="17"/>
    </row>
    <row r="4" spans="1:16" ht="30.75" customHeight="1" x14ac:dyDescent="0.15">
      <c r="B4" s="15"/>
      <c r="C4" s="15"/>
      <c r="D4" s="15"/>
      <c r="E4" s="15"/>
      <c r="F4" s="15"/>
      <c r="G4" s="15"/>
      <c r="H4" s="15"/>
      <c r="I4" s="15"/>
      <c r="J4" s="15"/>
      <c r="K4" s="15"/>
      <c r="N4" s="18" t="s">
        <v>36</v>
      </c>
      <c r="O4" s="17"/>
      <c r="P4" s="17"/>
    </row>
    <row r="5" spans="1:16" ht="30.75" customHeight="1" x14ac:dyDescent="0.15">
      <c r="B5" s="15"/>
      <c r="C5" s="15"/>
      <c r="D5" s="15"/>
      <c r="E5" s="15"/>
      <c r="F5" s="15"/>
      <c r="G5" s="15"/>
      <c r="H5" s="15"/>
      <c r="I5" s="15"/>
      <c r="J5" s="15"/>
      <c r="K5" s="15"/>
      <c r="N5" s="17"/>
      <c r="O5" s="36" t="s">
        <v>37</v>
      </c>
      <c r="P5" s="37"/>
    </row>
    <row r="6" spans="1:16" ht="30.75" customHeight="1" x14ac:dyDescent="0.15">
      <c r="B6" s="15"/>
      <c r="C6" s="15"/>
      <c r="D6" s="15"/>
      <c r="E6" s="15"/>
      <c r="F6" s="15"/>
      <c r="G6" s="15"/>
      <c r="H6" s="15"/>
      <c r="I6" s="15"/>
      <c r="J6" s="15"/>
      <c r="K6" s="15"/>
      <c r="N6" s="17"/>
      <c r="O6" s="19" t="s">
        <v>38</v>
      </c>
      <c r="P6" s="19" t="s">
        <v>39</v>
      </c>
    </row>
    <row r="7" spans="1:16" ht="30.75" customHeight="1" x14ac:dyDescent="0.15">
      <c r="B7" s="15"/>
      <c r="C7" s="15"/>
      <c r="D7" s="15"/>
      <c r="E7" s="15"/>
      <c r="F7" s="15"/>
      <c r="G7" s="15"/>
      <c r="H7" s="15"/>
      <c r="I7" s="15"/>
      <c r="J7" s="15"/>
      <c r="K7" s="15"/>
      <c r="N7" s="17" t="s">
        <v>40</v>
      </c>
      <c r="O7" s="17"/>
      <c r="P7" s="17"/>
    </row>
    <row r="8" spans="1:16" ht="30.75" customHeight="1" x14ac:dyDescent="0.15">
      <c r="B8" s="15"/>
      <c r="C8" s="15"/>
      <c r="D8" s="15"/>
      <c r="E8" s="15"/>
      <c r="F8" s="15"/>
      <c r="G8" s="15"/>
      <c r="H8" s="15"/>
      <c r="I8" s="15"/>
      <c r="J8" s="15"/>
      <c r="K8" s="15"/>
      <c r="N8" s="17" t="s">
        <v>41</v>
      </c>
      <c r="O8" s="17"/>
      <c r="P8" s="17"/>
    </row>
    <row r="9" spans="1:16" ht="30.75" customHeight="1" x14ac:dyDescent="0.15">
      <c r="B9" s="15"/>
      <c r="C9" s="15"/>
      <c r="D9" s="15"/>
      <c r="E9" s="15"/>
      <c r="F9" s="15"/>
      <c r="G9" s="15"/>
      <c r="H9" s="15"/>
      <c r="I9" s="15"/>
      <c r="J9" s="15"/>
      <c r="K9" s="15"/>
      <c r="N9" s="17" t="s">
        <v>42</v>
      </c>
      <c r="O9" s="17"/>
      <c r="P9" s="17"/>
    </row>
    <row r="10" spans="1:16" ht="30.75" customHeight="1" x14ac:dyDescent="0.15"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6" ht="30.75" customHeight="1" x14ac:dyDescent="0.15"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6" ht="30.75" customHeight="1" x14ac:dyDescent="0.15"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20">
        <v>1</v>
      </c>
      <c r="C2" s="15">
        <v>0</v>
      </c>
      <c r="D2" s="15">
        <v>0</v>
      </c>
      <c r="E2" s="15">
        <v>0</v>
      </c>
      <c r="F2" s="20">
        <v>1</v>
      </c>
      <c r="G2" s="15">
        <v>0</v>
      </c>
      <c r="H2" s="20">
        <v>1</v>
      </c>
      <c r="I2" s="20">
        <v>1</v>
      </c>
      <c r="J2" s="15">
        <v>0</v>
      </c>
      <c r="K2" s="20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20">
        <v>1</v>
      </c>
      <c r="C3" s="20">
        <v>1</v>
      </c>
      <c r="D3" s="20">
        <v>1</v>
      </c>
      <c r="E3" s="20">
        <v>1</v>
      </c>
      <c r="F3" s="15">
        <v>0</v>
      </c>
      <c r="G3" s="20">
        <v>1</v>
      </c>
      <c r="H3" s="15">
        <v>0</v>
      </c>
      <c r="I3" s="15">
        <v>0</v>
      </c>
      <c r="J3" s="20">
        <v>1</v>
      </c>
      <c r="K3" s="15">
        <v>0</v>
      </c>
      <c r="N3" s="17" t="s">
        <v>35</v>
      </c>
      <c r="O3" s="17">
        <v>58</v>
      </c>
      <c r="P3" s="17"/>
    </row>
    <row r="4" spans="1:16" ht="30.75" customHeight="1" x14ac:dyDescent="0.15">
      <c r="B4" s="15">
        <v>0</v>
      </c>
      <c r="C4" s="15">
        <v>0</v>
      </c>
      <c r="D4" s="15">
        <v>0</v>
      </c>
      <c r="E4" s="20">
        <v>1</v>
      </c>
      <c r="F4" s="15">
        <v>0</v>
      </c>
      <c r="G4" s="20">
        <v>1</v>
      </c>
      <c r="H4" s="20">
        <v>1</v>
      </c>
      <c r="I4" s="15">
        <v>0</v>
      </c>
      <c r="J4" s="20">
        <v>1</v>
      </c>
      <c r="K4" s="15">
        <v>0</v>
      </c>
      <c r="N4" s="18" t="s">
        <v>43</v>
      </c>
      <c r="O4" s="17">
        <v>0.57999999999999996</v>
      </c>
      <c r="P4" s="17"/>
    </row>
    <row r="5" spans="1:16" ht="30.75" customHeight="1" x14ac:dyDescent="0.15">
      <c r="B5" s="20">
        <v>1</v>
      </c>
      <c r="C5" s="15">
        <v>0</v>
      </c>
      <c r="D5" s="20">
        <v>1</v>
      </c>
      <c r="E5" s="15">
        <v>0</v>
      </c>
      <c r="F5" s="20">
        <v>1</v>
      </c>
      <c r="G5" s="20">
        <v>1</v>
      </c>
      <c r="H5" s="15">
        <v>0</v>
      </c>
      <c r="I5" s="20">
        <v>1</v>
      </c>
      <c r="J5" s="20">
        <v>1</v>
      </c>
      <c r="K5" s="15">
        <v>0</v>
      </c>
      <c r="N5" s="17"/>
      <c r="O5" s="36" t="s">
        <v>37</v>
      </c>
      <c r="P5" s="37"/>
    </row>
    <row r="6" spans="1:16" ht="30.75" customHeight="1" x14ac:dyDescent="0.15">
      <c r="B6" s="15">
        <v>0</v>
      </c>
      <c r="C6" s="15">
        <v>0</v>
      </c>
      <c r="D6" s="20">
        <v>1</v>
      </c>
      <c r="E6" s="15">
        <v>0</v>
      </c>
      <c r="F6" s="20">
        <v>1</v>
      </c>
      <c r="G6" s="15">
        <v>0</v>
      </c>
      <c r="H6" s="20">
        <v>1</v>
      </c>
      <c r="I6" s="15">
        <v>0</v>
      </c>
      <c r="J6" s="15">
        <v>0</v>
      </c>
      <c r="K6" s="20">
        <v>1</v>
      </c>
      <c r="N6" s="17"/>
      <c r="O6" s="19" t="s">
        <v>38</v>
      </c>
      <c r="P6" s="19" t="s">
        <v>39</v>
      </c>
    </row>
    <row r="7" spans="1:16" ht="30.75" customHeight="1" x14ac:dyDescent="0.15">
      <c r="B7" s="20">
        <v>1</v>
      </c>
      <c r="C7" s="20">
        <v>1</v>
      </c>
      <c r="D7" s="20">
        <v>1</v>
      </c>
      <c r="E7" s="15">
        <v>0</v>
      </c>
      <c r="F7" s="15">
        <v>0</v>
      </c>
      <c r="G7" s="20">
        <v>1</v>
      </c>
      <c r="H7" s="15">
        <v>0</v>
      </c>
      <c r="I7" s="15">
        <v>0</v>
      </c>
      <c r="J7" s="20">
        <v>1</v>
      </c>
      <c r="K7" s="20">
        <v>1</v>
      </c>
      <c r="N7" s="17" t="s">
        <v>40</v>
      </c>
      <c r="O7" s="17">
        <v>14</v>
      </c>
      <c r="P7" s="17">
        <v>3</v>
      </c>
    </row>
    <row r="8" spans="1:16" ht="30.75" customHeight="1" x14ac:dyDescent="0.15">
      <c r="B8" s="15">
        <v>0</v>
      </c>
      <c r="C8" s="20">
        <v>1</v>
      </c>
      <c r="D8" s="15">
        <v>0</v>
      </c>
      <c r="E8" s="15">
        <v>0</v>
      </c>
      <c r="F8" s="20">
        <v>1</v>
      </c>
      <c r="G8" s="20">
        <v>1</v>
      </c>
      <c r="H8" s="20">
        <v>1</v>
      </c>
      <c r="I8" s="15">
        <v>0</v>
      </c>
      <c r="J8" s="20">
        <v>1</v>
      </c>
      <c r="K8" s="20">
        <v>1</v>
      </c>
      <c r="N8" s="17" t="s">
        <v>41</v>
      </c>
      <c r="O8" s="17">
        <v>26</v>
      </c>
      <c r="P8" s="17">
        <v>56</v>
      </c>
    </row>
    <row r="9" spans="1:16" ht="30.75" customHeight="1" x14ac:dyDescent="0.15">
      <c r="B9" s="15">
        <v>0</v>
      </c>
      <c r="C9" s="20">
        <v>1</v>
      </c>
      <c r="D9" s="20">
        <v>1</v>
      </c>
      <c r="E9" s="15">
        <v>0</v>
      </c>
      <c r="F9" s="20">
        <v>1</v>
      </c>
      <c r="G9" s="15">
        <v>0</v>
      </c>
      <c r="H9" s="20">
        <v>1</v>
      </c>
      <c r="I9" s="20">
        <v>1</v>
      </c>
      <c r="J9" s="15">
        <v>0</v>
      </c>
      <c r="K9" s="15">
        <v>0</v>
      </c>
      <c r="N9" s="17" t="s">
        <v>42</v>
      </c>
      <c r="O9" s="17">
        <f>SUM(14+4+6+4+14+10+10+4+4+52+6+8+4)</f>
        <v>140</v>
      </c>
      <c r="P9" s="17">
        <f>SUM(82+4+4)</f>
        <v>90</v>
      </c>
    </row>
    <row r="10" spans="1:16" ht="30.75" customHeight="1" x14ac:dyDescent="0.15">
      <c r="B10" s="20">
        <v>1</v>
      </c>
      <c r="C10" s="20">
        <v>0</v>
      </c>
      <c r="D10" s="20">
        <v>1</v>
      </c>
      <c r="E10" s="20">
        <v>1</v>
      </c>
      <c r="F10" s="20">
        <v>1</v>
      </c>
      <c r="G10" s="15">
        <v>0</v>
      </c>
      <c r="H10" s="20">
        <v>1</v>
      </c>
      <c r="I10" s="15">
        <v>0</v>
      </c>
      <c r="J10" s="20">
        <v>1</v>
      </c>
      <c r="K10" s="20">
        <v>1</v>
      </c>
    </row>
    <row r="11" spans="1:16" ht="30.75" customHeight="1" x14ac:dyDescent="0.15">
      <c r="B11" s="15">
        <v>0</v>
      </c>
      <c r="C11" s="15">
        <v>0</v>
      </c>
      <c r="D11" s="15">
        <v>0</v>
      </c>
      <c r="E11" s="15">
        <v>0</v>
      </c>
      <c r="F11" s="20">
        <v>1</v>
      </c>
      <c r="G11" s="15">
        <v>0</v>
      </c>
      <c r="H11" s="20">
        <v>1</v>
      </c>
      <c r="I11" s="15">
        <v>0</v>
      </c>
      <c r="J11" s="15">
        <v>0</v>
      </c>
      <c r="K11" s="15">
        <v>0</v>
      </c>
    </row>
    <row r="12" spans="1:16" ht="30.75" customHeight="1" x14ac:dyDescent="0.15">
      <c r="B12" s="20">
        <v>1</v>
      </c>
      <c r="C12" s="15">
        <v>0</v>
      </c>
      <c r="D12" s="20">
        <v>1</v>
      </c>
      <c r="E12" s="20">
        <v>1</v>
      </c>
      <c r="F12" s="20">
        <v>1</v>
      </c>
      <c r="G12" s="15">
        <v>0</v>
      </c>
      <c r="H12" s="15">
        <v>0</v>
      </c>
      <c r="I12" s="20">
        <v>1</v>
      </c>
      <c r="J12" s="20">
        <v>1</v>
      </c>
      <c r="K12" s="20">
        <v>1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25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15">
        <v>1</v>
      </c>
      <c r="C2" s="15">
        <v>0</v>
      </c>
      <c r="D2" s="15">
        <v>0</v>
      </c>
      <c r="E2" s="15">
        <v>1</v>
      </c>
      <c r="F2" s="15">
        <v>0</v>
      </c>
      <c r="G2" s="15">
        <v>1</v>
      </c>
      <c r="H2" s="15">
        <v>0</v>
      </c>
      <c r="I2" s="15">
        <v>0</v>
      </c>
      <c r="J2" s="15">
        <v>1</v>
      </c>
      <c r="K2" s="15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15">
        <v>1</v>
      </c>
      <c r="C3" s="15">
        <v>0</v>
      </c>
      <c r="D3" s="15">
        <v>0</v>
      </c>
      <c r="E3" s="15">
        <v>1</v>
      </c>
      <c r="F3" s="15">
        <v>1</v>
      </c>
      <c r="G3" s="15">
        <v>1</v>
      </c>
      <c r="H3" s="15">
        <v>1</v>
      </c>
      <c r="I3" s="15">
        <v>1</v>
      </c>
      <c r="J3" s="15">
        <v>0</v>
      </c>
      <c r="K3" s="15">
        <v>1</v>
      </c>
      <c r="N3" s="17" t="s">
        <v>35</v>
      </c>
      <c r="O3" s="17">
        <v>65</v>
      </c>
      <c r="P3" s="17"/>
    </row>
    <row r="4" spans="1:16" ht="30.75" customHeight="1" x14ac:dyDescent="0.15">
      <c r="B4" s="15">
        <v>1</v>
      </c>
      <c r="C4" s="15">
        <v>1</v>
      </c>
      <c r="D4" s="15">
        <v>1</v>
      </c>
      <c r="E4" s="15">
        <v>0</v>
      </c>
      <c r="F4" s="15">
        <v>0</v>
      </c>
      <c r="G4" s="15">
        <v>1</v>
      </c>
      <c r="H4" s="15">
        <v>1</v>
      </c>
      <c r="I4" s="15">
        <v>0</v>
      </c>
      <c r="J4" s="15">
        <v>0</v>
      </c>
      <c r="K4" s="15">
        <v>1</v>
      </c>
      <c r="N4" s="18" t="s">
        <v>44</v>
      </c>
      <c r="O4" s="17">
        <v>0.59</v>
      </c>
      <c r="P4" s="17"/>
    </row>
    <row r="5" spans="1:16" ht="30.75" customHeight="1" x14ac:dyDescent="0.15">
      <c r="B5" s="15">
        <v>1</v>
      </c>
      <c r="C5" s="15">
        <v>0</v>
      </c>
      <c r="D5" s="15">
        <v>0</v>
      </c>
      <c r="E5" s="15">
        <v>1</v>
      </c>
      <c r="F5" s="15">
        <v>0</v>
      </c>
      <c r="G5" s="15">
        <v>1</v>
      </c>
      <c r="H5" s="15">
        <v>1</v>
      </c>
      <c r="I5" s="15">
        <v>1</v>
      </c>
      <c r="J5" s="15">
        <v>0</v>
      </c>
      <c r="K5" s="15">
        <v>0</v>
      </c>
      <c r="N5" s="17"/>
      <c r="O5" s="36" t="s">
        <v>37</v>
      </c>
      <c r="P5" s="37"/>
    </row>
    <row r="6" spans="1:16" ht="30.75" customHeight="1" x14ac:dyDescent="0.15">
      <c r="B6" s="15">
        <v>0</v>
      </c>
      <c r="C6" s="15">
        <v>1</v>
      </c>
      <c r="D6" s="15">
        <v>1</v>
      </c>
      <c r="E6" s="15">
        <v>1</v>
      </c>
      <c r="F6" s="15">
        <v>1</v>
      </c>
      <c r="G6" s="15">
        <v>0</v>
      </c>
      <c r="H6" s="15">
        <v>1</v>
      </c>
      <c r="I6" s="15">
        <v>0</v>
      </c>
      <c r="J6" s="15">
        <v>1</v>
      </c>
      <c r="K6" s="15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15">
        <v>1</v>
      </c>
      <c r="C7" s="15">
        <v>1</v>
      </c>
      <c r="D7" s="15">
        <v>0</v>
      </c>
      <c r="E7" s="15">
        <v>0</v>
      </c>
      <c r="F7" s="15">
        <v>1</v>
      </c>
      <c r="G7" s="15">
        <v>1</v>
      </c>
      <c r="H7" s="15">
        <v>0</v>
      </c>
      <c r="I7" s="15">
        <v>1</v>
      </c>
      <c r="J7" s="15">
        <v>0</v>
      </c>
      <c r="K7" s="15">
        <v>0</v>
      </c>
      <c r="N7" s="17" t="s">
        <v>40</v>
      </c>
      <c r="O7" s="17">
        <v>8</v>
      </c>
      <c r="P7" s="17">
        <v>1</v>
      </c>
    </row>
    <row r="8" spans="1:16" ht="30.75" customHeight="1" x14ac:dyDescent="0.15">
      <c r="B8" s="15">
        <v>0</v>
      </c>
      <c r="C8" s="15">
        <v>1</v>
      </c>
      <c r="D8" s="15">
        <v>1</v>
      </c>
      <c r="E8" s="15">
        <v>0</v>
      </c>
      <c r="F8" s="15">
        <v>0</v>
      </c>
      <c r="G8" s="15">
        <v>0</v>
      </c>
      <c r="H8" s="15">
        <v>1</v>
      </c>
      <c r="I8" s="15">
        <v>1</v>
      </c>
      <c r="J8" s="15">
        <v>1</v>
      </c>
      <c r="K8" s="15">
        <v>0</v>
      </c>
      <c r="N8" s="17" t="s">
        <v>41</v>
      </c>
      <c r="O8" s="17">
        <v>23</v>
      </c>
      <c r="P8" s="17">
        <v>65</v>
      </c>
    </row>
    <row r="9" spans="1:16" ht="30.75" customHeight="1" x14ac:dyDescent="0.15">
      <c r="B9" s="15">
        <v>1</v>
      </c>
      <c r="C9" s="15">
        <v>1</v>
      </c>
      <c r="D9" s="15">
        <v>1</v>
      </c>
      <c r="E9" s="15">
        <v>0</v>
      </c>
      <c r="F9" s="15">
        <v>1</v>
      </c>
      <c r="G9" s="15">
        <v>0</v>
      </c>
      <c r="H9" s="15">
        <v>1</v>
      </c>
      <c r="I9" s="15">
        <v>1</v>
      </c>
      <c r="J9" s="15">
        <v>0</v>
      </c>
      <c r="K9" s="15">
        <v>1</v>
      </c>
      <c r="N9" s="17" t="s">
        <v>42</v>
      </c>
      <c r="O9" s="17">
        <v>101</v>
      </c>
      <c r="P9" s="17"/>
    </row>
    <row r="10" spans="1:16" ht="30.75" customHeight="1" x14ac:dyDescent="0.15">
      <c r="B10" s="15">
        <v>0</v>
      </c>
      <c r="C10" s="15">
        <v>0</v>
      </c>
      <c r="D10" s="15">
        <v>0</v>
      </c>
      <c r="E10" s="15">
        <v>1</v>
      </c>
      <c r="F10" s="15">
        <v>1</v>
      </c>
      <c r="G10" s="15">
        <v>1</v>
      </c>
      <c r="H10" s="15">
        <v>1</v>
      </c>
      <c r="I10" s="15">
        <v>1</v>
      </c>
      <c r="J10" s="15">
        <v>1</v>
      </c>
      <c r="K10" s="15">
        <v>0</v>
      </c>
    </row>
    <row r="11" spans="1:16" ht="30.75" customHeight="1" x14ac:dyDescent="0.15">
      <c r="B11" s="15">
        <v>0</v>
      </c>
      <c r="C11" s="15">
        <v>1</v>
      </c>
      <c r="D11" s="15">
        <v>0</v>
      </c>
      <c r="E11" s="15">
        <v>1</v>
      </c>
      <c r="F11" s="15">
        <v>1</v>
      </c>
      <c r="G11" s="15">
        <v>1</v>
      </c>
      <c r="H11" s="15">
        <v>1</v>
      </c>
      <c r="I11" s="15">
        <v>0</v>
      </c>
      <c r="J11" s="15">
        <v>1</v>
      </c>
      <c r="K11" s="15">
        <v>0</v>
      </c>
    </row>
    <row r="12" spans="1:16" ht="30.75" customHeight="1" x14ac:dyDescent="0.15">
      <c r="B12" s="15">
        <v>0</v>
      </c>
      <c r="C12" s="15">
        <v>1</v>
      </c>
      <c r="D12" s="15">
        <v>1</v>
      </c>
      <c r="E12" s="15">
        <v>0</v>
      </c>
      <c r="F12" s="15">
        <v>1</v>
      </c>
      <c r="G12" s="15">
        <v>1</v>
      </c>
      <c r="H12" s="15">
        <v>1</v>
      </c>
      <c r="I12" s="15">
        <v>0</v>
      </c>
      <c r="J12" s="15">
        <v>1</v>
      </c>
      <c r="K12" s="15">
        <v>1</v>
      </c>
    </row>
    <row r="13" spans="1:16" ht="30.75" customHeight="1" x14ac:dyDescent="0.15">
      <c r="G13" s="4">
        <v>19</v>
      </c>
    </row>
    <row r="14" spans="1:16" ht="30.75" customHeight="1" x14ac:dyDescent="0.15">
      <c r="B14" s="15">
        <v>1</v>
      </c>
      <c r="C14" s="15">
        <v>0</v>
      </c>
      <c r="D14" s="15">
        <v>0</v>
      </c>
      <c r="E14" s="15">
        <v>2</v>
      </c>
      <c r="F14" s="15">
        <v>0</v>
      </c>
      <c r="G14" s="15">
        <v>2</v>
      </c>
      <c r="H14" s="15">
        <v>0</v>
      </c>
      <c r="I14" s="15">
        <v>0</v>
      </c>
      <c r="J14" s="15">
        <v>3</v>
      </c>
      <c r="K14" s="15">
        <v>3</v>
      </c>
    </row>
    <row r="15" spans="1:16" ht="30.75" customHeight="1" x14ac:dyDescent="0.15">
      <c r="B15" s="15">
        <v>1</v>
      </c>
      <c r="C15" s="15">
        <v>0</v>
      </c>
      <c r="D15" s="15">
        <v>0</v>
      </c>
      <c r="E15" s="15">
        <v>2</v>
      </c>
      <c r="F15" s="15">
        <v>2</v>
      </c>
      <c r="G15" s="15">
        <v>2</v>
      </c>
      <c r="H15" s="15">
        <v>2</v>
      </c>
      <c r="I15" s="15">
        <v>2</v>
      </c>
      <c r="J15" s="15">
        <v>0</v>
      </c>
      <c r="K15" s="15">
        <v>3</v>
      </c>
      <c r="L15" s="4">
        <v>5</v>
      </c>
    </row>
    <row r="16" spans="1:16" ht="30.75" customHeight="1" x14ac:dyDescent="0.15">
      <c r="B16" s="15">
        <v>1</v>
      </c>
      <c r="C16" s="15">
        <v>1</v>
      </c>
      <c r="D16" s="15">
        <v>1</v>
      </c>
      <c r="E16" s="15">
        <v>0</v>
      </c>
      <c r="F16" s="15">
        <v>0</v>
      </c>
      <c r="G16" s="15">
        <v>2</v>
      </c>
      <c r="H16" s="15">
        <v>2</v>
      </c>
      <c r="I16" s="15">
        <v>0</v>
      </c>
      <c r="J16" s="15">
        <v>0</v>
      </c>
      <c r="K16" s="15">
        <v>3</v>
      </c>
    </row>
    <row r="17" spans="1:12" ht="33" customHeight="1" x14ac:dyDescent="0.15">
      <c r="A17" s="4">
        <v>9</v>
      </c>
      <c r="B17" s="15">
        <v>1</v>
      </c>
      <c r="C17" s="15">
        <v>0</v>
      </c>
      <c r="D17" s="15">
        <v>0</v>
      </c>
      <c r="E17" s="15">
        <v>4</v>
      </c>
      <c r="F17" s="15">
        <v>0</v>
      </c>
      <c r="G17" s="15">
        <v>2</v>
      </c>
      <c r="H17" s="15">
        <v>2</v>
      </c>
      <c r="I17" s="15">
        <v>2</v>
      </c>
      <c r="J17" s="15">
        <v>0</v>
      </c>
      <c r="K17" s="15">
        <v>0</v>
      </c>
    </row>
    <row r="18" spans="1:12" ht="32.25" customHeight="1" x14ac:dyDescent="0.15">
      <c r="B18" s="15">
        <v>0</v>
      </c>
      <c r="C18" s="15">
        <v>4</v>
      </c>
      <c r="D18" s="15">
        <v>4</v>
      </c>
      <c r="E18" s="15">
        <v>4</v>
      </c>
      <c r="F18" s="15">
        <v>4</v>
      </c>
      <c r="G18" s="15">
        <v>0</v>
      </c>
      <c r="H18" s="15">
        <v>2</v>
      </c>
      <c r="I18" s="15">
        <v>0</v>
      </c>
      <c r="J18" s="15">
        <v>5</v>
      </c>
      <c r="K18" s="15">
        <v>0</v>
      </c>
      <c r="L18" s="4">
        <v>4</v>
      </c>
    </row>
    <row r="19" spans="1:12" ht="33.75" customHeight="1" x14ac:dyDescent="0.15">
      <c r="A19" s="4">
        <v>27</v>
      </c>
      <c r="B19" s="15">
        <v>4</v>
      </c>
      <c r="C19" s="15">
        <v>4</v>
      </c>
      <c r="D19" s="15">
        <v>0</v>
      </c>
      <c r="E19" s="15">
        <v>0</v>
      </c>
      <c r="F19" s="15">
        <v>4</v>
      </c>
      <c r="G19" s="15">
        <v>4</v>
      </c>
      <c r="H19" s="15">
        <v>0</v>
      </c>
      <c r="I19" s="15">
        <v>7</v>
      </c>
      <c r="J19" s="15">
        <v>0</v>
      </c>
      <c r="K19" s="15">
        <v>0</v>
      </c>
    </row>
    <row r="20" spans="1:12" ht="33" customHeight="1" x14ac:dyDescent="0.15">
      <c r="B20" s="15">
        <v>0</v>
      </c>
      <c r="C20" s="15">
        <v>4</v>
      </c>
      <c r="D20" s="15">
        <v>4</v>
      </c>
      <c r="E20" s="15">
        <v>0</v>
      </c>
      <c r="F20" s="15">
        <v>0</v>
      </c>
      <c r="G20" s="15">
        <v>0</v>
      </c>
      <c r="H20" s="15">
        <v>7</v>
      </c>
      <c r="I20" s="15">
        <v>7</v>
      </c>
      <c r="J20" s="15">
        <v>7</v>
      </c>
      <c r="K20" s="15">
        <v>0</v>
      </c>
    </row>
    <row r="21" spans="1:12" ht="33" customHeight="1" x14ac:dyDescent="0.15">
      <c r="B21" s="15">
        <v>4</v>
      </c>
      <c r="C21" s="15">
        <v>4</v>
      </c>
      <c r="D21" s="15">
        <v>4</v>
      </c>
      <c r="E21" s="15">
        <v>0</v>
      </c>
      <c r="F21" s="15">
        <v>7</v>
      </c>
      <c r="G21" s="15">
        <v>0</v>
      </c>
      <c r="H21" s="15">
        <v>7</v>
      </c>
      <c r="I21" s="15">
        <v>7</v>
      </c>
      <c r="J21" s="15">
        <v>0</v>
      </c>
      <c r="K21" s="15">
        <v>8</v>
      </c>
      <c r="L21" s="4">
        <v>3</v>
      </c>
    </row>
    <row r="22" spans="1:12" ht="33" customHeight="1" x14ac:dyDescent="0.15">
      <c r="B22" s="15">
        <v>0</v>
      </c>
      <c r="C22" s="15">
        <v>0</v>
      </c>
      <c r="D22" s="15">
        <v>0</v>
      </c>
      <c r="E22" s="15">
        <v>7</v>
      </c>
      <c r="F22" s="15">
        <v>7</v>
      </c>
      <c r="G22" s="15">
        <v>7</v>
      </c>
      <c r="H22" s="15">
        <v>7</v>
      </c>
      <c r="I22" s="15">
        <v>7</v>
      </c>
      <c r="J22" s="15">
        <v>7</v>
      </c>
      <c r="K22" s="15">
        <v>0</v>
      </c>
    </row>
    <row r="23" spans="1:12" ht="33.75" customHeight="1" x14ac:dyDescent="0.15">
      <c r="B23" s="15">
        <v>0</v>
      </c>
      <c r="C23" s="15">
        <v>6</v>
      </c>
      <c r="D23" s="15">
        <v>0</v>
      </c>
      <c r="E23" s="15">
        <v>7</v>
      </c>
      <c r="F23" s="15">
        <v>7</v>
      </c>
      <c r="G23" s="15">
        <v>7</v>
      </c>
      <c r="H23" s="15">
        <v>7</v>
      </c>
      <c r="I23" s="15">
        <v>0</v>
      </c>
      <c r="J23" s="15">
        <v>7</v>
      </c>
      <c r="K23" s="15">
        <v>0</v>
      </c>
    </row>
    <row r="24" spans="1:12" ht="32.25" customHeight="1" x14ac:dyDescent="0.15">
      <c r="B24" s="15">
        <v>0</v>
      </c>
      <c r="C24" s="15">
        <v>6</v>
      </c>
      <c r="D24" s="15">
        <v>6</v>
      </c>
      <c r="E24" s="15">
        <v>0</v>
      </c>
      <c r="F24" s="15">
        <v>7</v>
      </c>
      <c r="G24" s="15">
        <v>7</v>
      </c>
      <c r="H24" s="15">
        <v>7</v>
      </c>
      <c r="I24" s="15">
        <v>0</v>
      </c>
      <c r="J24" s="15">
        <v>7</v>
      </c>
      <c r="K24" s="15">
        <v>7</v>
      </c>
    </row>
    <row r="25" spans="1:12" ht="13" x14ac:dyDescent="0.15">
      <c r="D25" s="4">
        <v>6</v>
      </c>
      <c r="I25" s="4">
        <v>28</v>
      </c>
    </row>
  </sheetData>
  <mergeCells count="2">
    <mergeCell ref="O2:P2"/>
    <mergeCell ref="O5:P5"/>
  </mergeCells>
  <conditionalFormatting sqref="B2:K12">
    <cfRule type="cellIs" dxfId="10" priority="1" operator="greaterThan">
      <formula>0</formula>
    </cfRule>
  </conditionalFormatting>
  <conditionalFormatting sqref="B14:K24">
    <cfRule type="cellIs" dxfId="9" priority="2" operator="equal">
      <formula>1</formula>
    </cfRule>
    <cfRule type="cellIs" dxfId="8" priority="3" operator="equal">
      <formula>2</formula>
    </cfRule>
    <cfRule type="cellIs" dxfId="7" priority="4" operator="equal">
      <formula>3</formula>
    </cfRule>
    <cfRule type="cellIs" dxfId="6" priority="5" operator="equal">
      <formula>4</formula>
    </cfRule>
    <cfRule type="cellIs" dxfId="5" priority="6" operator="equal">
      <formula>5</formula>
    </cfRule>
    <cfRule type="cellIs" dxfId="4" priority="7" operator="equal">
      <formula>6</formula>
    </cfRule>
    <cfRule type="cellIs" dxfId="3" priority="8" operator="equal">
      <formula>7</formula>
    </cfRule>
    <cfRule type="cellIs" dxfId="2" priority="9" operator="equal">
      <formula>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21"/>
      <c r="C2" s="15"/>
      <c r="D2" s="15"/>
      <c r="E2" s="15"/>
      <c r="F2" s="15"/>
      <c r="G2" s="15"/>
      <c r="H2" s="15"/>
      <c r="I2" s="15"/>
      <c r="J2" s="21"/>
      <c r="K2" s="15"/>
      <c r="N2" s="16" t="s">
        <v>33</v>
      </c>
      <c r="O2" s="36" t="s">
        <v>34</v>
      </c>
      <c r="P2" s="37"/>
    </row>
    <row r="3" spans="1:16" ht="30.75" customHeight="1" x14ac:dyDescent="0.15">
      <c r="B3" s="15"/>
      <c r="C3" s="21"/>
      <c r="D3" s="21"/>
      <c r="E3" s="21"/>
      <c r="F3" s="15"/>
      <c r="G3" s="15"/>
      <c r="H3" s="21"/>
      <c r="I3" s="21"/>
      <c r="J3" s="21"/>
      <c r="K3" s="15"/>
      <c r="N3" s="17" t="s">
        <v>35</v>
      </c>
      <c r="O3" s="17"/>
      <c r="P3" s="17"/>
    </row>
    <row r="4" spans="1:16" ht="30.75" customHeight="1" x14ac:dyDescent="0.15">
      <c r="B4" s="15"/>
      <c r="C4" s="21"/>
      <c r="D4" s="21"/>
      <c r="E4" s="15"/>
      <c r="F4" s="15"/>
      <c r="G4" s="21"/>
      <c r="H4" s="21"/>
      <c r="I4" s="21"/>
      <c r="J4" s="15"/>
      <c r="K4" s="15"/>
      <c r="N4" s="18" t="s">
        <v>45</v>
      </c>
      <c r="O4" s="17"/>
      <c r="P4" s="17"/>
    </row>
    <row r="5" spans="1:16" ht="30.75" customHeight="1" x14ac:dyDescent="0.15">
      <c r="B5" s="15"/>
      <c r="C5" s="15"/>
      <c r="D5" s="15"/>
      <c r="E5" s="15"/>
      <c r="F5" s="15"/>
      <c r="G5" s="21"/>
      <c r="H5" s="15"/>
      <c r="I5" s="15"/>
      <c r="J5" s="15"/>
      <c r="K5" s="21"/>
      <c r="N5" s="17"/>
      <c r="O5" s="36" t="s">
        <v>37</v>
      </c>
      <c r="P5" s="37"/>
    </row>
    <row r="6" spans="1:16" ht="30.75" customHeight="1" x14ac:dyDescent="0.15">
      <c r="B6" s="21"/>
      <c r="C6" s="21"/>
      <c r="D6" s="15"/>
      <c r="E6" s="15"/>
      <c r="F6" s="15"/>
      <c r="G6" s="15"/>
      <c r="H6" s="21"/>
      <c r="I6" s="15"/>
      <c r="J6" s="15"/>
      <c r="K6" s="15"/>
      <c r="N6" s="17"/>
      <c r="O6" s="19" t="s">
        <v>38</v>
      </c>
      <c r="P6" s="19" t="s">
        <v>39</v>
      </c>
    </row>
    <row r="7" spans="1:16" ht="30.75" customHeight="1" x14ac:dyDescent="0.15">
      <c r="B7" s="21"/>
      <c r="C7" s="15"/>
      <c r="D7" s="15"/>
      <c r="E7" s="15"/>
      <c r="F7" s="21"/>
      <c r="G7" s="15"/>
      <c r="H7" s="21"/>
      <c r="I7" s="21"/>
      <c r="J7" s="15"/>
      <c r="K7" s="21"/>
      <c r="N7" s="17" t="s">
        <v>40</v>
      </c>
      <c r="O7" s="17"/>
      <c r="P7" s="17"/>
    </row>
    <row r="8" spans="1:16" ht="30.75" customHeight="1" x14ac:dyDescent="0.15">
      <c r="B8" s="15"/>
      <c r="C8" s="21"/>
      <c r="D8" s="15"/>
      <c r="E8" s="15"/>
      <c r="F8" s="15"/>
      <c r="G8" s="15"/>
      <c r="H8" s="15"/>
      <c r="I8" s="15"/>
      <c r="J8" s="15"/>
      <c r="K8" s="21"/>
      <c r="N8" s="17" t="s">
        <v>41</v>
      </c>
      <c r="O8" s="17"/>
      <c r="P8" s="17"/>
    </row>
    <row r="9" spans="1:16" ht="30.75" customHeight="1" x14ac:dyDescent="0.15">
      <c r="B9" s="15"/>
      <c r="C9" s="15"/>
      <c r="D9" s="15"/>
      <c r="E9" s="21"/>
      <c r="F9" s="21"/>
      <c r="G9" s="15"/>
      <c r="H9" s="15"/>
      <c r="I9" s="21"/>
      <c r="J9" s="15"/>
      <c r="K9" s="15"/>
      <c r="N9" s="17" t="s">
        <v>42</v>
      </c>
      <c r="O9" s="17"/>
      <c r="P9" s="17"/>
    </row>
    <row r="10" spans="1:16" ht="30.75" customHeight="1" x14ac:dyDescent="0.15">
      <c r="B10" s="21"/>
      <c r="C10" s="15"/>
      <c r="D10" s="21"/>
      <c r="E10" s="15"/>
      <c r="F10" s="15"/>
      <c r="G10" s="21"/>
      <c r="H10" s="21"/>
      <c r="I10" s="15"/>
      <c r="J10" s="21"/>
      <c r="K10" s="15"/>
    </row>
    <row r="11" spans="1:16" ht="30.75" customHeight="1" x14ac:dyDescent="0.15">
      <c r="B11" s="21"/>
      <c r="C11" s="21"/>
      <c r="D11" s="21"/>
      <c r="E11" s="21"/>
      <c r="F11" s="21"/>
      <c r="G11" s="15"/>
      <c r="H11" s="15"/>
      <c r="I11" s="15"/>
      <c r="J11" s="15"/>
      <c r="K11" s="15"/>
    </row>
    <row r="12" spans="1:16" ht="30.75" customHeight="1" x14ac:dyDescent="0.15">
      <c r="B12" s="21"/>
      <c r="C12" s="21"/>
      <c r="D12" s="15"/>
      <c r="E12" s="21"/>
      <c r="F12" s="15"/>
      <c r="G12" s="15"/>
      <c r="H12" s="21"/>
      <c r="I12" s="21"/>
      <c r="J12" s="21"/>
      <c r="K12" s="21"/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15"/>
      <c r="C2" s="15"/>
      <c r="D2" s="22"/>
      <c r="E2" s="22"/>
      <c r="F2" s="22"/>
      <c r="G2" s="22"/>
      <c r="H2" s="15"/>
      <c r="I2" s="22"/>
      <c r="J2" s="22"/>
      <c r="K2" s="22"/>
      <c r="N2" s="16" t="s">
        <v>33</v>
      </c>
      <c r="O2" s="36" t="s">
        <v>34</v>
      </c>
      <c r="P2" s="37"/>
    </row>
    <row r="3" spans="1:16" ht="30.75" customHeight="1" x14ac:dyDescent="0.15">
      <c r="B3" s="22"/>
      <c r="C3" s="15"/>
      <c r="D3" s="22"/>
      <c r="E3" s="22"/>
      <c r="F3" s="15"/>
      <c r="G3" s="22"/>
      <c r="H3" s="15"/>
      <c r="I3" s="15"/>
      <c r="J3" s="22"/>
      <c r="K3" s="15"/>
      <c r="N3" s="17" t="s">
        <v>35</v>
      </c>
      <c r="O3" s="17">
        <v>51</v>
      </c>
      <c r="P3" s="17"/>
    </row>
    <row r="4" spans="1:16" ht="30.75" customHeight="1" x14ac:dyDescent="0.15">
      <c r="B4" s="15"/>
      <c r="C4" s="15"/>
      <c r="D4" s="22"/>
      <c r="E4" s="22"/>
      <c r="F4" s="15"/>
      <c r="G4" s="15"/>
      <c r="H4" s="22"/>
      <c r="I4" s="22"/>
      <c r="J4" s="15"/>
      <c r="K4" s="22"/>
      <c r="N4" s="18" t="s">
        <v>46</v>
      </c>
      <c r="O4" s="17">
        <f>O3/110</f>
        <v>0.46363636363636362</v>
      </c>
      <c r="P4" s="17"/>
    </row>
    <row r="5" spans="1:16" ht="30.75" customHeight="1" x14ac:dyDescent="0.15">
      <c r="B5" s="15"/>
      <c r="C5" s="22"/>
      <c r="D5" s="22"/>
      <c r="E5" s="15"/>
      <c r="F5" s="22"/>
      <c r="G5" s="22"/>
      <c r="H5" s="22"/>
      <c r="I5" s="22"/>
      <c r="J5" s="22"/>
      <c r="K5" s="15"/>
      <c r="N5" s="17"/>
      <c r="O5" s="36" t="s">
        <v>37</v>
      </c>
      <c r="P5" s="37"/>
    </row>
    <row r="6" spans="1:16" ht="30.75" customHeight="1" x14ac:dyDescent="0.15">
      <c r="B6" s="22"/>
      <c r="C6" s="22"/>
      <c r="D6" s="22"/>
      <c r="E6" s="22"/>
      <c r="F6" s="22"/>
      <c r="G6" s="22"/>
      <c r="H6" s="22"/>
      <c r="I6" s="15"/>
      <c r="J6" s="22"/>
      <c r="K6" s="15"/>
      <c r="N6" s="17"/>
      <c r="O6" s="19" t="s">
        <v>38</v>
      </c>
      <c r="P6" s="19" t="s">
        <v>39</v>
      </c>
    </row>
    <row r="7" spans="1:16" ht="30.75" customHeight="1" x14ac:dyDescent="0.15">
      <c r="B7" s="22"/>
      <c r="C7" s="22"/>
      <c r="D7" s="15"/>
      <c r="E7" s="15"/>
      <c r="F7" s="15"/>
      <c r="G7" s="22"/>
      <c r="H7" s="15"/>
      <c r="I7" s="22"/>
      <c r="J7" s="15"/>
      <c r="K7" s="15"/>
      <c r="N7" s="17" t="s">
        <v>40</v>
      </c>
      <c r="O7" s="17">
        <v>9</v>
      </c>
      <c r="P7" s="17">
        <v>4</v>
      </c>
    </row>
    <row r="8" spans="1:16" ht="30.75" customHeight="1" x14ac:dyDescent="0.15">
      <c r="B8" s="15"/>
      <c r="C8" s="22"/>
      <c r="D8" s="15"/>
      <c r="E8" s="15"/>
      <c r="F8" s="22"/>
      <c r="G8" s="15"/>
      <c r="H8" s="22"/>
      <c r="I8" s="15"/>
      <c r="J8" s="15"/>
      <c r="K8" s="15"/>
      <c r="N8" s="17" t="s">
        <v>41</v>
      </c>
      <c r="O8" s="17">
        <v>30</v>
      </c>
      <c r="P8" s="17">
        <v>40</v>
      </c>
    </row>
    <row r="9" spans="1:16" ht="30.75" customHeight="1" x14ac:dyDescent="0.15">
      <c r="B9" s="15"/>
      <c r="C9" s="15"/>
      <c r="D9" s="15"/>
      <c r="E9" s="15"/>
      <c r="F9" s="15"/>
      <c r="G9" s="22"/>
      <c r="H9" s="22"/>
      <c r="I9" s="15"/>
      <c r="J9" s="22"/>
      <c r="K9" s="15"/>
      <c r="N9" s="17" t="s">
        <v>42</v>
      </c>
      <c r="O9" s="17">
        <v>76</v>
      </c>
      <c r="P9" s="17">
        <v>76</v>
      </c>
    </row>
    <row r="10" spans="1:16" ht="30.75" customHeight="1" x14ac:dyDescent="0.15"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6" ht="30.75" customHeight="1" x14ac:dyDescent="0.15">
      <c r="B11" s="15"/>
      <c r="C11" s="15"/>
      <c r="D11" s="22"/>
      <c r="E11" s="15"/>
      <c r="F11" s="22"/>
      <c r="G11" s="15"/>
      <c r="H11" s="22"/>
      <c r="I11" s="15"/>
      <c r="J11" s="15"/>
      <c r="K11" s="15"/>
    </row>
    <row r="12" spans="1:16" ht="30.75" customHeight="1" x14ac:dyDescent="0.15">
      <c r="B12" s="15"/>
      <c r="C12" s="22"/>
      <c r="D12" s="22"/>
      <c r="E12" s="22"/>
      <c r="F12" s="22"/>
      <c r="G12" s="22"/>
      <c r="H12" s="22"/>
      <c r="I12" s="15"/>
      <c r="J12" s="15"/>
      <c r="K12" s="15"/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D1" s="4"/>
      <c r="N1" s="14" t="s">
        <v>32</v>
      </c>
    </row>
    <row r="2" spans="1:16" ht="30.75" customHeight="1" x14ac:dyDescent="0.15">
      <c r="B2" s="15">
        <v>0</v>
      </c>
      <c r="C2" s="15">
        <v>0</v>
      </c>
      <c r="D2" s="23">
        <v>1</v>
      </c>
      <c r="E2" s="23">
        <v>1</v>
      </c>
      <c r="F2" s="15">
        <v>0</v>
      </c>
      <c r="G2" s="15">
        <v>0</v>
      </c>
      <c r="H2" s="15">
        <v>0</v>
      </c>
      <c r="I2" s="23">
        <v>1</v>
      </c>
      <c r="J2" s="23">
        <v>1</v>
      </c>
      <c r="K2" s="15">
        <v>0</v>
      </c>
      <c r="N2" s="16" t="s">
        <v>33</v>
      </c>
      <c r="O2" s="36" t="s">
        <v>34</v>
      </c>
      <c r="P2" s="37"/>
    </row>
    <row r="3" spans="1:16" ht="30.75" customHeight="1" x14ac:dyDescent="0.15">
      <c r="B3" s="23">
        <v>1</v>
      </c>
      <c r="C3" s="23">
        <v>1</v>
      </c>
      <c r="D3" s="15">
        <v>0</v>
      </c>
      <c r="E3" s="15">
        <v>0</v>
      </c>
      <c r="F3" s="15">
        <v>0</v>
      </c>
      <c r="G3" s="15">
        <v>0</v>
      </c>
      <c r="H3" s="23">
        <v>1</v>
      </c>
      <c r="I3" s="15">
        <v>0</v>
      </c>
      <c r="J3" s="15">
        <v>0</v>
      </c>
      <c r="K3" s="15">
        <v>0</v>
      </c>
      <c r="N3" s="17" t="s">
        <v>35</v>
      </c>
      <c r="O3" s="17">
        <f>COUNTIF(B2:K12,1)</f>
        <v>44</v>
      </c>
      <c r="P3" s="17"/>
    </row>
    <row r="4" spans="1:16" ht="30.75" customHeight="1" x14ac:dyDescent="0.15">
      <c r="B4" s="15">
        <v>0</v>
      </c>
      <c r="C4" s="23">
        <v>1</v>
      </c>
      <c r="D4" s="15">
        <v>0</v>
      </c>
      <c r="E4" s="23">
        <v>1</v>
      </c>
      <c r="F4" s="15">
        <v>0</v>
      </c>
      <c r="G4" s="23">
        <v>1</v>
      </c>
      <c r="H4" s="23">
        <v>1</v>
      </c>
      <c r="I4" s="15">
        <v>0</v>
      </c>
      <c r="J4" s="23">
        <v>1</v>
      </c>
      <c r="K4" s="23">
        <v>1</v>
      </c>
      <c r="N4" s="18" t="s">
        <v>47</v>
      </c>
      <c r="O4" s="17">
        <f>44/121</f>
        <v>0.36363636363636365</v>
      </c>
      <c r="P4" s="17"/>
    </row>
    <row r="5" spans="1:16" ht="30.75" customHeight="1" x14ac:dyDescent="0.15">
      <c r="B5" s="15">
        <v>0</v>
      </c>
      <c r="C5" s="15">
        <v>0</v>
      </c>
      <c r="D5" s="15">
        <v>0</v>
      </c>
      <c r="E5" s="23">
        <v>1</v>
      </c>
      <c r="F5" s="15">
        <v>0</v>
      </c>
      <c r="G5" s="23">
        <v>1</v>
      </c>
      <c r="H5" s="15">
        <v>0</v>
      </c>
      <c r="I5" s="15">
        <v>0</v>
      </c>
      <c r="J5" s="15">
        <v>0</v>
      </c>
      <c r="K5" s="23">
        <v>1</v>
      </c>
      <c r="N5" s="17"/>
      <c r="O5" s="36" t="s">
        <v>37</v>
      </c>
      <c r="P5" s="37"/>
    </row>
    <row r="6" spans="1:16" ht="30.75" customHeight="1" x14ac:dyDescent="0.15">
      <c r="B6" s="15">
        <v>0</v>
      </c>
      <c r="C6" s="15">
        <v>0</v>
      </c>
      <c r="D6" s="15">
        <v>0</v>
      </c>
      <c r="E6" s="15">
        <v>0</v>
      </c>
      <c r="F6" s="23">
        <v>1</v>
      </c>
      <c r="G6" s="15">
        <v>0</v>
      </c>
      <c r="H6" s="15">
        <v>0</v>
      </c>
      <c r="I6" s="23">
        <v>1</v>
      </c>
      <c r="J6" s="15">
        <v>0</v>
      </c>
      <c r="K6" s="23">
        <v>1</v>
      </c>
      <c r="N6" s="17"/>
      <c r="O6" s="19" t="s">
        <v>38</v>
      </c>
      <c r="P6" s="19" t="s">
        <v>39</v>
      </c>
    </row>
    <row r="7" spans="1:16" ht="30.75" customHeight="1" x14ac:dyDescent="0.15"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N7" s="17" t="s">
        <v>40</v>
      </c>
      <c r="O7" s="17">
        <v>12</v>
      </c>
      <c r="P7" s="17">
        <v>6</v>
      </c>
    </row>
    <row r="8" spans="1:16" ht="30.75" customHeight="1" x14ac:dyDescent="0.15">
      <c r="B8" s="15">
        <v>0</v>
      </c>
      <c r="C8" s="23">
        <v>1</v>
      </c>
      <c r="D8" s="23">
        <v>1</v>
      </c>
      <c r="E8" s="23">
        <v>1</v>
      </c>
      <c r="F8" s="15">
        <v>0</v>
      </c>
      <c r="G8" s="23">
        <v>1</v>
      </c>
      <c r="H8" s="15">
        <v>0</v>
      </c>
      <c r="I8" s="15">
        <v>0</v>
      </c>
      <c r="J8" s="15">
        <v>0</v>
      </c>
      <c r="K8" s="15">
        <v>0</v>
      </c>
      <c r="N8" s="17" t="s">
        <v>41</v>
      </c>
      <c r="O8" s="17">
        <v>14</v>
      </c>
      <c r="P8" s="17">
        <f>COUNTIF(B8:G12,1)</f>
        <v>19</v>
      </c>
    </row>
    <row r="9" spans="1:16" ht="30.75" customHeight="1" x14ac:dyDescent="0.15">
      <c r="B9" s="15">
        <v>0</v>
      </c>
      <c r="C9" s="23">
        <v>1</v>
      </c>
      <c r="D9" s="23">
        <v>1</v>
      </c>
      <c r="E9" s="23">
        <v>1</v>
      </c>
      <c r="F9" s="23">
        <v>1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N9" s="17" t="s">
        <v>42</v>
      </c>
      <c r="O9" s="17">
        <v>84</v>
      </c>
      <c r="P9" s="17">
        <v>84</v>
      </c>
    </row>
    <row r="10" spans="1:16" ht="30.75" customHeight="1" x14ac:dyDescent="0.15">
      <c r="B10" s="15">
        <v>0</v>
      </c>
      <c r="C10" s="23">
        <v>1</v>
      </c>
      <c r="D10" s="23">
        <v>1</v>
      </c>
      <c r="E10" s="23">
        <v>1</v>
      </c>
      <c r="F10" s="23">
        <v>1</v>
      </c>
      <c r="G10" s="15">
        <v>0</v>
      </c>
      <c r="H10" s="23">
        <v>1</v>
      </c>
      <c r="I10" s="23">
        <v>1</v>
      </c>
      <c r="J10" s="23">
        <v>1</v>
      </c>
      <c r="K10" s="15">
        <v>0</v>
      </c>
    </row>
    <row r="11" spans="1:16" ht="30.75" customHeight="1" x14ac:dyDescent="0.15">
      <c r="B11" s="23">
        <v>1</v>
      </c>
      <c r="C11" s="15">
        <v>0</v>
      </c>
      <c r="D11" s="15">
        <v>0</v>
      </c>
      <c r="E11" s="15">
        <v>0</v>
      </c>
      <c r="F11" s="23">
        <v>1</v>
      </c>
      <c r="G11" s="15">
        <v>0</v>
      </c>
      <c r="H11" s="15">
        <v>0</v>
      </c>
      <c r="I11" s="15">
        <v>0</v>
      </c>
      <c r="J11" s="23">
        <v>1</v>
      </c>
      <c r="K11" s="15">
        <v>0</v>
      </c>
    </row>
    <row r="12" spans="1:16" ht="30.75" customHeight="1" x14ac:dyDescent="0.15">
      <c r="B12" s="23">
        <v>1</v>
      </c>
      <c r="C12" s="23">
        <v>1</v>
      </c>
      <c r="D12" s="23">
        <v>1</v>
      </c>
      <c r="E12" s="15">
        <v>0</v>
      </c>
      <c r="F12" s="23">
        <v>1</v>
      </c>
      <c r="G12" s="23">
        <v>1</v>
      </c>
      <c r="H12" s="15">
        <v>0</v>
      </c>
      <c r="I12" s="15">
        <v>0</v>
      </c>
      <c r="J12" s="23">
        <v>1</v>
      </c>
      <c r="K12" s="23">
        <v>1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15">
        <v>0</v>
      </c>
      <c r="C2" s="24">
        <v>1</v>
      </c>
      <c r="D2" s="24">
        <v>1</v>
      </c>
      <c r="E2" s="24">
        <v>1</v>
      </c>
      <c r="F2" s="15">
        <v>0</v>
      </c>
      <c r="G2" s="15">
        <v>0</v>
      </c>
      <c r="H2" s="24">
        <v>1</v>
      </c>
      <c r="I2" s="15">
        <v>0</v>
      </c>
      <c r="J2" s="24">
        <v>1</v>
      </c>
      <c r="K2" s="24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24">
        <v>1</v>
      </c>
      <c r="C3" s="24">
        <v>1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24">
        <v>1</v>
      </c>
      <c r="J3" s="15">
        <v>0</v>
      </c>
      <c r="K3" s="15">
        <v>0</v>
      </c>
      <c r="N3" s="17" t="s">
        <v>35</v>
      </c>
      <c r="O3" s="17">
        <v>53</v>
      </c>
      <c r="P3" s="17"/>
    </row>
    <row r="4" spans="1:16" ht="30.75" customHeight="1" x14ac:dyDescent="0.15">
      <c r="B4" s="24">
        <v>1</v>
      </c>
      <c r="C4" s="24">
        <v>1</v>
      </c>
      <c r="D4" s="15">
        <v>0</v>
      </c>
      <c r="E4" s="15">
        <v>0</v>
      </c>
      <c r="F4" s="24">
        <v>1</v>
      </c>
      <c r="G4" s="24">
        <v>1</v>
      </c>
      <c r="H4" s="24">
        <v>1</v>
      </c>
      <c r="I4" s="15">
        <v>0</v>
      </c>
      <c r="J4" s="15">
        <v>0</v>
      </c>
      <c r="K4" s="24">
        <v>1</v>
      </c>
      <c r="N4" s="18" t="s">
        <v>48</v>
      </c>
      <c r="O4" s="17">
        <v>0.48</v>
      </c>
      <c r="P4" s="17"/>
    </row>
    <row r="5" spans="1:16" ht="30.75" customHeight="1" x14ac:dyDescent="0.15">
      <c r="B5" s="24">
        <v>1</v>
      </c>
      <c r="C5" s="15">
        <v>0</v>
      </c>
      <c r="D5" s="15">
        <v>0</v>
      </c>
      <c r="E5" s="15">
        <v>0</v>
      </c>
      <c r="F5" s="15">
        <v>0</v>
      </c>
      <c r="G5" s="24">
        <v>1</v>
      </c>
      <c r="H5" s="24">
        <v>1</v>
      </c>
      <c r="I5" s="24">
        <v>1</v>
      </c>
      <c r="J5" s="24">
        <v>1</v>
      </c>
      <c r="K5" s="24">
        <v>1</v>
      </c>
      <c r="N5" s="17"/>
      <c r="O5" s="36" t="s">
        <v>37</v>
      </c>
      <c r="P5" s="37"/>
    </row>
    <row r="6" spans="1:16" ht="30.75" customHeight="1" x14ac:dyDescent="0.15">
      <c r="B6" s="24">
        <v>1</v>
      </c>
      <c r="C6" s="15">
        <v>0</v>
      </c>
      <c r="D6" s="15">
        <v>0</v>
      </c>
      <c r="E6" s="15">
        <v>0</v>
      </c>
      <c r="F6" s="15">
        <v>0</v>
      </c>
      <c r="G6" s="24">
        <v>1</v>
      </c>
      <c r="H6" s="15">
        <v>0</v>
      </c>
      <c r="I6" s="15">
        <v>0</v>
      </c>
      <c r="J6" s="15">
        <v>0</v>
      </c>
      <c r="K6" s="24">
        <v>1</v>
      </c>
      <c r="N6" s="17"/>
      <c r="O6" s="19" t="s">
        <v>38</v>
      </c>
      <c r="P6" s="19" t="s">
        <v>39</v>
      </c>
    </row>
    <row r="7" spans="1:16" ht="30.75" customHeight="1" x14ac:dyDescent="0.15">
      <c r="B7" s="15">
        <v>0</v>
      </c>
      <c r="C7" s="24">
        <v>1</v>
      </c>
      <c r="D7" s="24">
        <v>1</v>
      </c>
      <c r="E7" s="24">
        <v>1</v>
      </c>
      <c r="F7" s="24">
        <v>1</v>
      </c>
      <c r="G7" s="15">
        <v>0</v>
      </c>
      <c r="H7" s="24">
        <v>1</v>
      </c>
      <c r="I7" s="24">
        <v>1</v>
      </c>
      <c r="J7" s="24">
        <v>1</v>
      </c>
      <c r="K7" s="24">
        <v>1</v>
      </c>
      <c r="N7" s="17" t="s">
        <v>40</v>
      </c>
      <c r="O7" s="17">
        <v>9</v>
      </c>
      <c r="P7" s="17">
        <v>1</v>
      </c>
    </row>
    <row r="8" spans="1:16" ht="30.75" customHeight="1" x14ac:dyDescent="0.15">
      <c r="B8" s="24">
        <v>1</v>
      </c>
      <c r="C8" s="15">
        <v>0</v>
      </c>
      <c r="D8" s="24">
        <v>1</v>
      </c>
      <c r="E8" s="24">
        <v>1</v>
      </c>
      <c r="F8" s="24">
        <v>1</v>
      </c>
      <c r="G8" s="15">
        <v>0</v>
      </c>
      <c r="H8" s="24">
        <v>1</v>
      </c>
      <c r="I8" s="15">
        <v>0</v>
      </c>
      <c r="J8" s="24">
        <v>1</v>
      </c>
      <c r="K8" s="24">
        <v>1</v>
      </c>
      <c r="N8" s="17" t="s">
        <v>41</v>
      </c>
      <c r="O8" s="17">
        <v>28</v>
      </c>
      <c r="P8" s="17">
        <v>57</v>
      </c>
    </row>
    <row r="9" spans="1:16" ht="30.75" customHeight="1" x14ac:dyDescent="0.15">
      <c r="B9" s="24">
        <v>1</v>
      </c>
      <c r="C9" s="15">
        <v>0</v>
      </c>
      <c r="D9" s="15">
        <v>0</v>
      </c>
      <c r="E9" s="15">
        <v>0</v>
      </c>
      <c r="F9" s="15">
        <v>0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N9" s="17" t="s">
        <v>42</v>
      </c>
      <c r="O9" s="17">
        <v>83</v>
      </c>
      <c r="P9" s="17">
        <v>83</v>
      </c>
    </row>
    <row r="10" spans="1:16" ht="30.75" customHeight="1" x14ac:dyDescent="0.15">
      <c r="B10" s="15">
        <v>0</v>
      </c>
      <c r="C10" s="24">
        <v>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24">
        <v>1</v>
      </c>
      <c r="J10" s="24">
        <v>1</v>
      </c>
      <c r="K10" s="15">
        <v>0</v>
      </c>
    </row>
    <row r="11" spans="1:16" ht="30.75" customHeight="1" x14ac:dyDescent="0.15">
      <c r="B11" s="15">
        <v>0</v>
      </c>
      <c r="C11" s="15">
        <v>0</v>
      </c>
      <c r="D11" s="24">
        <v>1</v>
      </c>
      <c r="E11" s="24">
        <v>1</v>
      </c>
      <c r="F11" s="15">
        <v>0</v>
      </c>
      <c r="G11" s="15">
        <v>0</v>
      </c>
      <c r="H11" s="24">
        <v>1</v>
      </c>
      <c r="I11" s="24">
        <v>1</v>
      </c>
      <c r="J11" s="15">
        <v>0</v>
      </c>
      <c r="K11" s="15">
        <v>0</v>
      </c>
    </row>
    <row r="12" spans="1:16" ht="30.75" customHeight="1" x14ac:dyDescent="0.15">
      <c r="B12" s="15">
        <v>0</v>
      </c>
      <c r="C12" s="15">
        <v>0</v>
      </c>
      <c r="D12" s="15">
        <v>0</v>
      </c>
      <c r="E12" s="24">
        <v>1</v>
      </c>
      <c r="F12" s="24">
        <v>1</v>
      </c>
      <c r="G12" s="15">
        <v>0</v>
      </c>
      <c r="H12" s="24">
        <v>1</v>
      </c>
      <c r="I12" s="24">
        <v>1</v>
      </c>
      <c r="J12" s="24">
        <v>1</v>
      </c>
      <c r="K12" s="15">
        <v>0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25">
        <v>1</v>
      </c>
      <c r="C2" s="25">
        <v>1</v>
      </c>
      <c r="D2" s="25">
        <v>1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25">
        <v>1</v>
      </c>
      <c r="K2" s="25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15">
        <v>0</v>
      </c>
      <c r="C3" s="25">
        <v>1</v>
      </c>
      <c r="D3" s="25">
        <v>1</v>
      </c>
      <c r="E3" s="15">
        <v>0</v>
      </c>
      <c r="F3" s="15">
        <v>0</v>
      </c>
      <c r="G3" s="25">
        <v>1</v>
      </c>
      <c r="H3" s="25">
        <v>1</v>
      </c>
      <c r="I3" s="25">
        <v>1</v>
      </c>
      <c r="J3" s="25">
        <v>1</v>
      </c>
      <c r="K3" s="15">
        <v>0</v>
      </c>
      <c r="N3" s="17" t="s">
        <v>35</v>
      </c>
      <c r="O3" s="17">
        <v>49</v>
      </c>
      <c r="P3" s="17"/>
    </row>
    <row r="4" spans="1:16" ht="30.75" customHeight="1" x14ac:dyDescent="0.15">
      <c r="B4" s="15">
        <v>0</v>
      </c>
      <c r="C4" s="15">
        <v>0</v>
      </c>
      <c r="D4" s="25">
        <v>1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25">
        <v>1</v>
      </c>
      <c r="N4" s="18" t="s">
        <v>49</v>
      </c>
      <c r="O4" s="17">
        <f>49/110</f>
        <v>0.44545454545454544</v>
      </c>
      <c r="P4" s="17"/>
    </row>
    <row r="5" spans="1:16" ht="30.75" customHeight="1" x14ac:dyDescent="0.15">
      <c r="B5" s="25">
        <v>1</v>
      </c>
      <c r="C5" s="25">
        <v>1</v>
      </c>
      <c r="D5" s="15">
        <v>0</v>
      </c>
      <c r="E5" s="25">
        <v>1</v>
      </c>
      <c r="F5" s="25">
        <v>1</v>
      </c>
      <c r="G5" s="15">
        <v>0</v>
      </c>
      <c r="H5" s="25">
        <v>1</v>
      </c>
      <c r="I5" s="25">
        <v>1</v>
      </c>
      <c r="J5" s="25">
        <v>1</v>
      </c>
      <c r="K5" s="15">
        <v>0</v>
      </c>
      <c r="N5" s="17"/>
      <c r="O5" s="36" t="s">
        <v>37</v>
      </c>
      <c r="P5" s="37"/>
    </row>
    <row r="6" spans="1:16" ht="30.75" customHeight="1" x14ac:dyDescent="0.15">
      <c r="B6" s="15">
        <v>0</v>
      </c>
      <c r="C6" s="15">
        <v>0</v>
      </c>
      <c r="D6" s="25">
        <v>1</v>
      </c>
      <c r="E6" s="25">
        <v>1</v>
      </c>
      <c r="F6" s="15">
        <v>0</v>
      </c>
      <c r="G6" s="15">
        <v>0</v>
      </c>
      <c r="H6" s="25">
        <v>1</v>
      </c>
      <c r="I6" s="25">
        <v>1</v>
      </c>
      <c r="J6" s="15">
        <v>0</v>
      </c>
      <c r="K6" s="15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25">
        <v>1</v>
      </c>
      <c r="C7" s="15">
        <v>0</v>
      </c>
      <c r="D7" s="15">
        <v>0</v>
      </c>
      <c r="E7" s="25">
        <v>1</v>
      </c>
      <c r="F7" s="15">
        <v>0</v>
      </c>
      <c r="G7" s="15">
        <v>0</v>
      </c>
      <c r="H7" s="15">
        <v>0</v>
      </c>
      <c r="I7" s="25">
        <v>1</v>
      </c>
      <c r="J7" s="15">
        <v>0</v>
      </c>
      <c r="K7" s="25">
        <v>1</v>
      </c>
      <c r="N7" s="17" t="s">
        <v>40</v>
      </c>
      <c r="O7" s="17">
        <v>13</v>
      </c>
      <c r="P7" s="17">
        <v>5</v>
      </c>
    </row>
    <row r="8" spans="1:16" ht="30.75" customHeight="1" x14ac:dyDescent="0.15"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25">
        <v>1</v>
      </c>
      <c r="I8" s="25">
        <v>1</v>
      </c>
      <c r="J8" s="15">
        <v>0</v>
      </c>
      <c r="K8" s="15">
        <v>0</v>
      </c>
      <c r="N8" s="17" t="s">
        <v>41</v>
      </c>
      <c r="O8" s="17">
        <v>19</v>
      </c>
      <c r="P8" s="17">
        <v>32</v>
      </c>
    </row>
    <row r="9" spans="1:16" ht="30.75" customHeight="1" x14ac:dyDescent="0.15">
      <c r="B9" s="15">
        <v>0</v>
      </c>
      <c r="C9" s="15">
        <v>0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15">
        <v>0</v>
      </c>
      <c r="J9" s="25">
        <v>1</v>
      </c>
      <c r="K9" s="15">
        <v>0</v>
      </c>
      <c r="N9" s="17" t="s">
        <v>42</v>
      </c>
      <c r="O9" s="17">
        <v>89</v>
      </c>
      <c r="P9" s="17">
        <v>89</v>
      </c>
    </row>
    <row r="10" spans="1:16" ht="30.75" customHeight="1" x14ac:dyDescent="0.15">
      <c r="B10" s="15">
        <v>0</v>
      </c>
      <c r="C10" s="15">
        <v>0</v>
      </c>
      <c r="D10" s="15">
        <v>0</v>
      </c>
      <c r="E10" s="15">
        <v>0</v>
      </c>
      <c r="F10" s="25">
        <v>1</v>
      </c>
      <c r="G10" s="25">
        <v>1</v>
      </c>
      <c r="H10" s="25">
        <v>1</v>
      </c>
      <c r="I10" s="15">
        <v>0</v>
      </c>
      <c r="J10" s="15">
        <v>0</v>
      </c>
      <c r="K10" s="25">
        <v>1</v>
      </c>
    </row>
    <row r="11" spans="1:16" ht="30.75" customHeight="1" x14ac:dyDescent="0.15">
      <c r="B11" s="25">
        <v>1</v>
      </c>
      <c r="C11" s="15">
        <v>0</v>
      </c>
      <c r="D11" s="15">
        <v>0</v>
      </c>
      <c r="E11" s="15">
        <v>0</v>
      </c>
      <c r="F11" s="15">
        <v>0</v>
      </c>
      <c r="G11" s="25">
        <v>1</v>
      </c>
      <c r="H11" s="25">
        <v>1</v>
      </c>
      <c r="I11" s="25">
        <v>1</v>
      </c>
      <c r="J11" s="15">
        <v>0</v>
      </c>
      <c r="K11" s="25">
        <v>1</v>
      </c>
    </row>
    <row r="12" spans="1:16" ht="30.75" customHeight="1" x14ac:dyDescent="0.15">
      <c r="B12" s="25">
        <v>1</v>
      </c>
      <c r="C12" s="25">
        <v>1</v>
      </c>
      <c r="D12" s="15">
        <v>0</v>
      </c>
      <c r="E12" s="15">
        <v>0</v>
      </c>
      <c r="F12" s="25">
        <v>1</v>
      </c>
      <c r="G12" s="15">
        <v>0</v>
      </c>
      <c r="H12" s="15">
        <v>0</v>
      </c>
      <c r="I12" s="15">
        <v>0</v>
      </c>
      <c r="J12" s="25">
        <v>1</v>
      </c>
      <c r="K12" s="15">
        <v>0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25">
        <v>1</v>
      </c>
      <c r="C2" s="15">
        <v>0</v>
      </c>
      <c r="D2" s="15">
        <v>0</v>
      </c>
      <c r="E2" s="25">
        <v>1</v>
      </c>
      <c r="F2" s="15">
        <v>0</v>
      </c>
      <c r="G2" s="25">
        <v>1</v>
      </c>
      <c r="H2" s="15">
        <v>0</v>
      </c>
      <c r="I2" s="25">
        <v>1</v>
      </c>
      <c r="J2" s="25">
        <v>1</v>
      </c>
      <c r="K2" s="25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25">
        <v>1</v>
      </c>
      <c r="C3" s="25">
        <v>1</v>
      </c>
      <c r="D3" s="15">
        <v>0</v>
      </c>
      <c r="E3" s="25">
        <v>1</v>
      </c>
      <c r="F3" s="25">
        <v>1</v>
      </c>
      <c r="G3" s="15">
        <v>0</v>
      </c>
      <c r="H3" s="15">
        <v>0</v>
      </c>
      <c r="I3" s="15">
        <v>0</v>
      </c>
      <c r="J3" s="25">
        <v>1</v>
      </c>
      <c r="K3" s="25">
        <v>1</v>
      </c>
      <c r="N3" s="17" t="s">
        <v>35</v>
      </c>
      <c r="O3" s="17">
        <v>57</v>
      </c>
      <c r="P3" s="17"/>
    </row>
    <row r="4" spans="1:16" ht="30.75" customHeight="1" x14ac:dyDescent="0.15">
      <c r="B4" s="25">
        <v>1</v>
      </c>
      <c r="C4" s="15">
        <v>0</v>
      </c>
      <c r="D4" s="25">
        <v>1</v>
      </c>
      <c r="E4" s="15">
        <v>0</v>
      </c>
      <c r="F4" s="25">
        <v>1</v>
      </c>
      <c r="G4" s="25">
        <v>1</v>
      </c>
      <c r="H4" s="25">
        <v>1</v>
      </c>
      <c r="I4" s="15">
        <v>0</v>
      </c>
      <c r="J4" s="15">
        <v>0</v>
      </c>
      <c r="K4" s="15">
        <v>0</v>
      </c>
      <c r="N4" s="18" t="s">
        <v>50</v>
      </c>
      <c r="O4" s="17"/>
      <c r="P4" s="17"/>
    </row>
    <row r="5" spans="1:16" ht="30.75" customHeight="1" x14ac:dyDescent="0.15">
      <c r="B5" s="15">
        <v>0</v>
      </c>
      <c r="C5" s="15">
        <v>0</v>
      </c>
      <c r="D5" s="25">
        <v>1</v>
      </c>
      <c r="E5" s="25">
        <v>1</v>
      </c>
      <c r="F5" s="25">
        <v>1</v>
      </c>
      <c r="G5" s="25">
        <v>1</v>
      </c>
      <c r="H5" s="15">
        <v>0</v>
      </c>
      <c r="I5" s="15">
        <v>0</v>
      </c>
      <c r="J5" s="25">
        <v>1</v>
      </c>
      <c r="K5" s="15">
        <v>0</v>
      </c>
      <c r="N5" s="17"/>
      <c r="O5" s="36" t="s">
        <v>37</v>
      </c>
      <c r="P5" s="37"/>
    </row>
    <row r="6" spans="1:16" ht="30.75" customHeight="1" x14ac:dyDescent="0.15">
      <c r="B6" s="25">
        <v>1</v>
      </c>
      <c r="C6" s="15">
        <v>0</v>
      </c>
      <c r="D6" s="25">
        <v>1</v>
      </c>
      <c r="E6" s="15">
        <v>0</v>
      </c>
      <c r="F6" s="15">
        <v>0</v>
      </c>
      <c r="G6" s="25">
        <v>1</v>
      </c>
      <c r="H6" s="15">
        <v>0</v>
      </c>
      <c r="I6" s="25">
        <v>1</v>
      </c>
      <c r="J6" s="25">
        <v>1</v>
      </c>
      <c r="K6" s="15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15">
        <v>0</v>
      </c>
      <c r="C7" s="15">
        <v>0</v>
      </c>
      <c r="D7" s="25">
        <v>1</v>
      </c>
      <c r="E7" s="15">
        <v>0</v>
      </c>
      <c r="F7" s="25">
        <v>1</v>
      </c>
      <c r="G7" s="25">
        <v>1</v>
      </c>
      <c r="H7" s="15">
        <v>0</v>
      </c>
      <c r="I7" s="25">
        <v>1</v>
      </c>
      <c r="J7" s="15">
        <v>0</v>
      </c>
      <c r="K7" s="15">
        <v>0</v>
      </c>
      <c r="N7" s="17" t="s">
        <v>40</v>
      </c>
      <c r="O7" s="17">
        <v>13</v>
      </c>
      <c r="P7" s="17">
        <v>5</v>
      </c>
    </row>
    <row r="8" spans="1:16" ht="30.75" customHeight="1" x14ac:dyDescent="0.15">
      <c r="B8" s="25">
        <v>1</v>
      </c>
      <c r="C8" s="15">
        <v>0</v>
      </c>
      <c r="D8" s="25">
        <v>1</v>
      </c>
      <c r="E8" s="15">
        <v>1</v>
      </c>
      <c r="F8" s="25">
        <v>1</v>
      </c>
      <c r="G8" s="15">
        <v>0</v>
      </c>
      <c r="H8" s="25">
        <v>1</v>
      </c>
      <c r="I8" s="15">
        <v>0</v>
      </c>
      <c r="J8" s="25">
        <v>1</v>
      </c>
      <c r="K8" s="15">
        <v>0</v>
      </c>
      <c r="N8" s="17" t="s">
        <v>41</v>
      </c>
      <c r="O8" s="17">
        <v>19</v>
      </c>
      <c r="P8" s="17">
        <v>46</v>
      </c>
    </row>
    <row r="9" spans="1:16" ht="30.75" customHeight="1" x14ac:dyDescent="0.15">
      <c r="B9" s="25">
        <v>1</v>
      </c>
      <c r="C9" s="15">
        <v>0</v>
      </c>
      <c r="D9" s="25">
        <v>1</v>
      </c>
      <c r="E9" s="15">
        <v>0</v>
      </c>
      <c r="F9" s="15">
        <v>0</v>
      </c>
      <c r="G9" s="25">
        <v>1</v>
      </c>
      <c r="H9" s="15">
        <v>0</v>
      </c>
      <c r="I9" s="15">
        <v>0</v>
      </c>
      <c r="J9" s="15">
        <v>0</v>
      </c>
      <c r="K9" s="25">
        <v>1</v>
      </c>
      <c r="N9" s="17" t="s">
        <v>42</v>
      </c>
      <c r="O9" s="17">
        <v>90</v>
      </c>
      <c r="P9" s="17"/>
    </row>
    <row r="10" spans="1:16" ht="30.75" customHeight="1" x14ac:dyDescent="0.15">
      <c r="B10" s="15">
        <v>0</v>
      </c>
      <c r="C10" s="15">
        <v>0</v>
      </c>
      <c r="D10" s="15">
        <v>0</v>
      </c>
      <c r="E10" s="25">
        <v>1</v>
      </c>
      <c r="F10" s="15">
        <v>0</v>
      </c>
      <c r="G10" s="15">
        <v>0</v>
      </c>
      <c r="H10" s="25">
        <v>1</v>
      </c>
      <c r="I10" s="25">
        <v>1</v>
      </c>
      <c r="J10" s="15">
        <v>0</v>
      </c>
      <c r="K10" s="25">
        <v>1</v>
      </c>
    </row>
    <row r="11" spans="1:16" ht="30.75" customHeight="1" x14ac:dyDescent="0.15">
      <c r="B11" s="25">
        <v>1</v>
      </c>
      <c r="C11" s="15">
        <v>0</v>
      </c>
      <c r="D11" s="15">
        <v>0</v>
      </c>
      <c r="E11" s="25">
        <v>1</v>
      </c>
      <c r="F11" s="25">
        <v>1</v>
      </c>
      <c r="G11" s="15">
        <v>0</v>
      </c>
      <c r="H11" s="25">
        <v>1</v>
      </c>
      <c r="I11" s="25">
        <v>1</v>
      </c>
      <c r="J11" s="25">
        <v>1</v>
      </c>
      <c r="K11" s="25">
        <v>1</v>
      </c>
    </row>
    <row r="12" spans="1:16" ht="30.75" customHeight="1" x14ac:dyDescent="0.15">
      <c r="B12" s="25">
        <v>1</v>
      </c>
      <c r="C12" s="25">
        <v>1</v>
      </c>
      <c r="D12" s="15">
        <v>0</v>
      </c>
      <c r="E12" s="25">
        <v>1</v>
      </c>
      <c r="F12" s="15">
        <v>0</v>
      </c>
      <c r="G12" s="25">
        <v>1</v>
      </c>
      <c r="H12" s="25">
        <v>1</v>
      </c>
      <c r="I12" s="15">
        <v>0</v>
      </c>
      <c r="J12" s="15">
        <v>0</v>
      </c>
      <c r="K12" s="25">
        <v>1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26">
        <v>1</v>
      </c>
      <c r="C2" s="17">
        <v>0</v>
      </c>
      <c r="D2" s="17">
        <v>0</v>
      </c>
      <c r="E2" s="26">
        <v>1</v>
      </c>
      <c r="F2" s="26">
        <v>1</v>
      </c>
      <c r="G2" s="17">
        <v>0</v>
      </c>
      <c r="H2" s="26">
        <v>1</v>
      </c>
      <c r="I2" s="26">
        <v>1</v>
      </c>
      <c r="J2" s="26">
        <v>1</v>
      </c>
      <c r="K2" s="17">
        <v>0</v>
      </c>
      <c r="N2" s="16" t="s">
        <v>33</v>
      </c>
      <c r="O2" s="36" t="s">
        <v>34</v>
      </c>
      <c r="P2" s="37"/>
    </row>
    <row r="3" spans="1:16" ht="30.75" customHeight="1" x14ac:dyDescent="0.15">
      <c r="B3" s="26">
        <v>1</v>
      </c>
      <c r="C3" s="17">
        <v>0</v>
      </c>
      <c r="D3" s="26">
        <v>1</v>
      </c>
      <c r="E3" s="17">
        <v>0</v>
      </c>
      <c r="F3" s="26">
        <v>1</v>
      </c>
      <c r="G3" s="17">
        <v>0</v>
      </c>
      <c r="H3" s="17">
        <v>0</v>
      </c>
      <c r="I3" s="26">
        <v>1</v>
      </c>
      <c r="J3" s="17">
        <v>0</v>
      </c>
      <c r="K3" s="26">
        <v>1</v>
      </c>
      <c r="N3" s="17" t="s">
        <v>35</v>
      </c>
      <c r="O3" s="17">
        <v>55</v>
      </c>
      <c r="P3" s="17"/>
    </row>
    <row r="4" spans="1:16" ht="30.75" customHeight="1" x14ac:dyDescent="0.15">
      <c r="B4" s="17">
        <v>0</v>
      </c>
      <c r="C4" s="17">
        <v>0</v>
      </c>
      <c r="D4" s="26">
        <v>1</v>
      </c>
      <c r="E4" s="17">
        <v>0</v>
      </c>
      <c r="F4" s="26">
        <v>1</v>
      </c>
      <c r="G4" s="17">
        <v>0</v>
      </c>
      <c r="H4" s="26">
        <v>1</v>
      </c>
      <c r="I4" s="17">
        <v>0</v>
      </c>
      <c r="J4" s="26">
        <v>1</v>
      </c>
      <c r="K4" s="17">
        <v>0</v>
      </c>
      <c r="N4" s="18" t="s">
        <v>51</v>
      </c>
      <c r="O4" s="17">
        <v>0.5</v>
      </c>
      <c r="P4" s="17"/>
    </row>
    <row r="5" spans="1:16" ht="30.75" customHeight="1" x14ac:dyDescent="0.15">
      <c r="B5" s="26">
        <v>1</v>
      </c>
      <c r="C5" s="26">
        <v>1</v>
      </c>
      <c r="D5" s="17">
        <v>0</v>
      </c>
      <c r="E5" s="17">
        <v>0</v>
      </c>
      <c r="F5" s="17">
        <v>0</v>
      </c>
      <c r="G5" s="17">
        <v>0</v>
      </c>
      <c r="H5" s="26">
        <v>1</v>
      </c>
      <c r="I5" s="17">
        <v>0</v>
      </c>
      <c r="J5" s="26">
        <v>1</v>
      </c>
      <c r="K5" s="17">
        <v>0</v>
      </c>
      <c r="N5" s="17"/>
      <c r="O5" s="36" t="s">
        <v>37</v>
      </c>
      <c r="P5" s="37"/>
    </row>
    <row r="6" spans="1:16" ht="30.75" customHeight="1" x14ac:dyDescent="0.15">
      <c r="B6" s="26">
        <v>1</v>
      </c>
      <c r="C6" s="26">
        <v>1</v>
      </c>
      <c r="D6" s="17">
        <v>0</v>
      </c>
      <c r="E6" s="26">
        <v>1</v>
      </c>
      <c r="F6" s="17">
        <v>0</v>
      </c>
      <c r="G6" s="26">
        <v>1</v>
      </c>
      <c r="H6" s="26">
        <v>1</v>
      </c>
      <c r="I6" s="17">
        <v>0</v>
      </c>
      <c r="J6" s="17">
        <v>0</v>
      </c>
      <c r="K6" s="17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17">
        <v>0</v>
      </c>
      <c r="C7" s="17">
        <v>0</v>
      </c>
      <c r="D7" s="26">
        <v>1</v>
      </c>
      <c r="E7" s="17">
        <v>0</v>
      </c>
      <c r="F7" s="26">
        <v>1</v>
      </c>
      <c r="G7" s="26">
        <v>1</v>
      </c>
      <c r="H7" s="26">
        <v>1</v>
      </c>
      <c r="I7" s="17">
        <v>0</v>
      </c>
      <c r="J7" s="26">
        <v>1</v>
      </c>
      <c r="K7" s="17">
        <v>0</v>
      </c>
      <c r="N7" s="17" t="s">
        <v>40</v>
      </c>
      <c r="O7" s="17">
        <v>13</v>
      </c>
      <c r="P7" s="17">
        <v>3</v>
      </c>
    </row>
    <row r="8" spans="1:16" ht="30.75" customHeight="1" x14ac:dyDescent="0.15">
      <c r="B8" s="17">
        <v>0</v>
      </c>
      <c r="C8" s="26">
        <v>1</v>
      </c>
      <c r="D8" s="26">
        <v>1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N8" s="17" t="s">
        <v>41</v>
      </c>
      <c r="O8" s="17">
        <v>25</v>
      </c>
      <c r="P8" s="17">
        <v>52</v>
      </c>
    </row>
    <row r="9" spans="1:16" ht="30.75" customHeight="1" x14ac:dyDescent="0.15">
      <c r="B9" s="26">
        <v>1</v>
      </c>
      <c r="C9" s="26">
        <v>1</v>
      </c>
      <c r="D9" s="17">
        <v>0</v>
      </c>
      <c r="E9" s="17">
        <v>0</v>
      </c>
      <c r="F9" s="26">
        <v>1</v>
      </c>
      <c r="G9" s="17">
        <v>0</v>
      </c>
      <c r="H9" s="26">
        <v>1</v>
      </c>
      <c r="I9" s="17">
        <v>0</v>
      </c>
      <c r="J9" s="17">
        <v>0</v>
      </c>
      <c r="K9" s="17">
        <v>0</v>
      </c>
      <c r="N9" s="17" t="s">
        <v>42</v>
      </c>
      <c r="O9" s="17">
        <v>92</v>
      </c>
      <c r="P9" s="17">
        <v>63</v>
      </c>
    </row>
    <row r="10" spans="1:16" ht="30.75" customHeight="1" x14ac:dyDescent="0.15">
      <c r="B10" s="26">
        <v>1</v>
      </c>
      <c r="C10" s="26">
        <v>1</v>
      </c>
      <c r="D10" s="26">
        <v>1</v>
      </c>
      <c r="E10" s="26">
        <v>1</v>
      </c>
      <c r="F10" s="17">
        <v>0</v>
      </c>
      <c r="G10" s="26">
        <v>1</v>
      </c>
      <c r="H10" s="17">
        <v>0</v>
      </c>
      <c r="I10" s="26">
        <v>1</v>
      </c>
      <c r="J10" s="26">
        <v>1</v>
      </c>
      <c r="K10" s="26">
        <v>1</v>
      </c>
    </row>
    <row r="11" spans="1:16" ht="30.75" customHeight="1" x14ac:dyDescent="0.15">
      <c r="B11" s="26">
        <v>1</v>
      </c>
      <c r="C11" s="17">
        <v>0</v>
      </c>
      <c r="D11" s="17">
        <v>0</v>
      </c>
      <c r="E11" s="26">
        <v>1</v>
      </c>
      <c r="F11" s="17">
        <v>0</v>
      </c>
      <c r="G11" s="26">
        <v>1</v>
      </c>
      <c r="H11" s="26">
        <v>1</v>
      </c>
      <c r="I11" s="26">
        <v>1</v>
      </c>
      <c r="J11" s="17">
        <v>0</v>
      </c>
      <c r="K11" s="17">
        <v>0</v>
      </c>
    </row>
    <row r="12" spans="1:16" ht="30.75" customHeight="1" x14ac:dyDescent="0.15">
      <c r="B12" s="26">
        <v>1</v>
      </c>
      <c r="C12" s="26">
        <v>1</v>
      </c>
      <c r="D12" s="17">
        <v>0</v>
      </c>
      <c r="E12" s="26">
        <v>1</v>
      </c>
      <c r="F12" s="26">
        <v>1</v>
      </c>
      <c r="G12" s="26">
        <v>1</v>
      </c>
      <c r="H12" s="26">
        <v>1</v>
      </c>
      <c r="I12" s="26">
        <v>1</v>
      </c>
      <c r="J12" s="17">
        <v>0</v>
      </c>
      <c r="K12" s="17">
        <v>0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19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15">
        <f>0</f>
        <v>0</v>
      </c>
      <c r="C2" s="15">
        <f t="shared" ref="C2:D2" si="0">1</f>
        <v>1</v>
      </c>
      <c r="D2" s="15">
        <f t="shared" si="0"/>
        <v>1</v>
      </c>
      <c r="E2" s="15">
        <f t="shared" ref="E2:G2" si="1">0</f>
        <v>0</v>
      </c>
      <c r="F2" s="15">
        <f t="shared" si="1"/>
        <v>0</v>
      </c>
      <c r="G2" s="15">
        <f t="shared" si="1"/>
        <v>0</v>
      </c>
      <c r="H2" s="15">
        <f t="shared" ref="H2:I2" si="2">1</f>
        <v>1</v>
      </c>
      <c r="I2" s="15">
        <f t="shared" si="2"/>
        <v>1</v>
      </c>
      <c r="J2" s="15">
        <f>0</f>
        <v>0</v>
      </c>
      <c r="K2" s="15">
        <f>1</f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15">
        <f t="shared" ref="B3:B4" si="3">1</f>
        <v>1</v>
      </c>
      <c r="C3" s="15">
        <f>0</f>
        <v>0</v>
      </c>
      <c r="D3" s="15">
        <f>1</f>
        <v>1</v>
      </c>
      <c r="E3" s="15">
        <f>0</f>
        <v>0</v>
      </c>
      <c r="F3" s="15">
        <f t="shared" ref="F3:G3" si="4">1</f>
        <v>1</v>
      </c>
      <c r="G3" s="15">
        <f t="shared" si="4"/>
        <v>1</v>
      </c>
      <c r="H3" s="15">
        <f>0</f>
        <v>0</v>
      </c>
      <c r="I3" s="15">
        <f t="shared" ref="I3:J3" si="5">1</f>
        <v>1</v>
      </c>
      <c r="J3" s="15">
        <f t="shared" si="5"/>
        <v>1</v>
      </c>
      <c r="K3" s="15">
        <f t="shared" ref="K3:K4" si="6">0</f>
        <v>0</v>
      </c>
      <c r="N3" s="17" t="s">
        <v>35</v>
      </c>
      <c r="O3" s="17">
        <v>56</v>
      </c>
      <c r="P3" s="17"/>
    </row>
    <row r="4" spans="1:16" ht="30.75" customHeight="1" x14ac:dyDescent="0.15">
      <c r="B4" s="15">
        <f t="shared" si="3"/>
        <v>1</v>
      </c>
      <c r="C4" s="15">
        <f t="shared" ref="C4:F4" si="7">1</f>
        <v>1</v>
      </c>
      <c r="D4" s="15">
        <f t="shared" si="7"/>
        <v>1</v>
      </c>
      <c r="E4" s="15">
        <f t="shared" si="7"/>
        <v>1</v>
      </c>
      <c r="F4" s="15">
        <f t="shared" si="7"/>
        <v>1</v>
      </c>
      <c r="G4" s="15">
        <f t="shared" ref="G4:I4" si="8">0</f>
        <v>0</v>
      </c>
      <c r="H4" s="15">
        <f t="shared" si="8"/>
        <v>0</v>
      </c>
      <c r="I4" s="15">
        <f t="shared" si="8"/>
        <v>0</v>
      </c>
      <c r="J4" s="15">
        <f>1</f>
        <v>1</v>
      </c>
      <c r="K4" s="15">
        <f t="shared" si="6"/>
        <v>0</v>
      </c>
      <c r="N4" s="18" t="s">
        <v>52</v>
      </c>
      <c r="O4" s="17">
        <v>0.50900000000000001</v>
      </c>
      <c r="P4" s="17"/>
    </row>
    <row r="5" spans="1:16" ht="30.75" customHeight="1" x14ac:dyDescent="0.15">
      <c r="B5" s="15">
        <f t="shared" ref="B5:D5" si="9">0</f>
        <v>0</v>
      </c>
      <c r="C5" s="15">
        <f t="shared" si="9"/>
        <v>0</v>
      </c>
      <c r="D5" s="15">
        <f t="shared" si="9"/>
        <v>0</v>
      </c>
      <c r="E5" s="15">
        <f>1</f>
        <v>1</v>
      </c>
      <c r="F5" s="15">
        <f t="shared" ref="F5:H5" si="10">0</f>
        <v>0</v>
      </c>
      <c r="G5" s="15">
        <f t="shared" si="10"/>
        <v>0</v>
      </c>
      <c r="H5" s="15">
        <f t="shared" si="10"/>
        <v>0</v>
      </c>
      <c r="I5" s="15">
        <f>1</f>
        <v>1</v>
      </c>
      <c r="J5" s="15">
        <f>0</f>
        <v>0</v>
      </c>
      <c r="K5" s="15">
        <f>1</f>
        <v>1</v>
      </c>
      <c r="N5" s="17"/>
      <c r="O5" s="36" t="s">
        <v>37</v>
      </c>
      <c r="P5" s="37"/>
    </row>
    <row r="6" spans="1:16" ht="30.75" customHeight="1" x14ac:dyDescent="0.15">
      <c r="B6" s="15">
        <f t="shared" ref="B6:C6" si="11">0</f>
        <v>0</v>
      </c>
      <c r="C6" s="15">
        <f t="shared" si="11"/>
        <v>0</v>
      </c>
      <c r="D6" s="15">
        <f t="shared" ref="D6:E6" si="12">1</f>
        <v>1</v>
      </c>
      <c r="E6" s="15">
        <f t="shared" si="12"/>
        <v>1</v>
      </c>
      <c r="F6" s="15">
        <f>0</f>
        <v>0</v>
      </c>
      <c r="G6" s="15">
        <f>1</f>
        <v>1</v>
      </c>
      <c r="H6" s="15">
        <f t="shared" ref="H6:I6" si="13">0</f>
        <v>0</v>
      </c>
      <c r="I6" s="15">
        <f t="shared" si="13"/>
        <v>0</v>
      </c>
      <c r="J6" s="15">
        <f t="shared" ref="J6:J8" si="14">1</f>
        <v>1</v>
      </c>
      <c r="K6" s="15">
        <f>0</f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15">
        <f t="shared" ref="B7:C7" si="15">0</f>
        <v>0</v>
      </c>
      <c r="C7" s="15">
        <f t="shared" si="15"/>
        <v>0</v>
      </c>
      <c r="D7" s="15">
        <f t="shared" ref="D7:D8" si="16">1</f>
        <v>1</v>
      </c>
      <c r="E7" s="15">
        <f t="shared" ref="E7:I7" si="17">0</f>
        <v>0</v>
      </c>
      <c r="F7" s="15">
        <f t="shared" si="17"/>
        <v>0</v>
      </c>
      <c r="G7" s="15">
        <f t="shared" si="17"/>
        <v>0</v>
      </c>
      <c r="H7" s="15">
        <f t="shared" si="17"/>
        <v>0</v>
      </c>
      <c r="I7" s="15">
        <f t="shared" si="17"/>
        <v>0</v>
      </c>
      <c r="J7" s="15">
        <f t="shared" si="14"/>
        <v>1</v>
      </c>
      <c r="K7" s="15">
        <f>1</f>
        <v>1</v>
      </c>
      <c r="N7" s="17" t="s">
        <v>40</v>
      </c>
      <c r="O7" s="17">
        <v>12</v>
      </c>
      <c r="P7" s="17">
        <v>2</v>
      </c>
    </row>
    <row r="8" spans="1:16" ht="30.75" customHeight="1" x14ac:dyDescent="0.15">
      <c r="B8" s="15">
        <f t="shared" ref="B8:C8" si="18">0</f>
        <v>0</v>
      </c>
      <c r="C8" s="15">
        <f t="shared" si="18"/>
        <v>0</v>
      </c>
      <c r="D8" s="15">
        <f t="shared" si="16"/>
        <v>1</v>
      </c>
      <c r="E8" s="15">
        <f t="shared" ref="E8:F8" si="19">1</f>
        <v>1</v>
      </c>
      <c r="F8" s="15">
        <f t="shared" si="19"/>
        <v>1</v>
      </c>
      <c r="G8" s="15">
        <f>0</f>
        <v>0</v>
      </c>
      <c r="H8" s="15">
        <f>1</f>
        <v>1</v>
      </c>
      <c r="I8" s="15">
        <f>0</f>
        <v>0</v>
      </c>
      <c r="J8" s="15">
        <f t="shared" si="14"/>
        <v>1</v>
      </c>
      <c r="K8" s="15">
        <f>0</f>
        <v>0</v>
      </c>
      <c r="N8" s="17" t="s">
        <v>41</v>
      </c>
      <c r="O8" s="17">
        <v>25</v>
      </c>
      <c r="P8" s="17">
        <v>55</v>
      </c>
    </row>
    <row r="9" spans="1:16" ht="30.75" customHeight="1" x14ac:dyDescent="0.15">
      <c r="B9" s="15">
        <f t="shared" ref="B9:D9" si="20">1</f>
        <v>1</v>
      </c>
      <c r="C9" s="15">
        <f t="shared" si="20"/>
        <v>1</v>
      </c>
      <c r="D9" s="15">
        <f t="shared" si="20"/>
        <v>1</v>
      </c>
      <c r="E9" s="15">
        <f t="shared" ref="E9:H9" si="21">0</f>
        <v>0</v>
      </c>
      <c r="F9" s="15">
        <f t="shared" si="21"/>
        <v>0</v>
      </c>
      <c r="G9" s="15">
        <f t="shared" si="21"/>
        <v>0</v>
      </c>
      <c r="H9" s="15">
        <f t="shared" si="21"/>
        <v>0</v>
      </c>
      <c r="I9" s="15">
        <f t="shared" ref="I9:I10" si="22">1</f>
        <v>1</v>
      </c>
      <c r="J9" s="15">
        <f t="shared" ref="J9:J10" si="23">0</f>
        <v>0</v>
      </c>
      <c r="K9" s="15">
        <f t="shared" ref="K9:K10" si="24">1</f>
        <v>1</v>
      </c>
      <c r="N9" s="17" t="s">
        <v>42</v>
      </c>
      <c r="O9" s="17">
        <v>111</v>
      </c>
      <c r="P9" s="17">
        <v>111</v>
      </c>
    </row>
    <row r="10" spans="1:16" ht="30.75" customHeight="1" x14ac:dyDescent="0.15">
      <c r="B10" s="15">
        <f t="shared" ref="B10:C10" si="25">1</f>
        <v>1</v>
      </c>
      <c r="C10" s="15">
        <f t="shared" si="25"/>
        <v>1</v>
      </c>
      <c r="D10" s="15">
        <f>0</f>
        <v>0</v>
      </c>
      <c r="E10" s="15">
        <f>1</f>
        <v>1</v>
      </c>
      <c r="F10" s="15">
        <f>0</f>
        <v>0</v>
      </c>
      <c r="G10" s="15">
        <f>1</f>
        <v>1</v>
      </c>
      <c r="H10" s="15">
        <f>0</f>
        <v>0</v>
      </c>
      <c r="I10" s="15">
        <f t="shared" si="22"/>
        <v>1</v>
      </c>
      <c r="J10" s="15">
        <f t="shared" si="23"/>
        <v>0</v>
      </c>
      <c r="K10" s="15">
        <f t="shared" si="24"/>
        <v>1</v>
      </c>
    </row>
    <row r="11" spans="1:16" ht="30.75" customHeight="1" x14ac:dyDescent="0.15">
      <c r="B11" s="15">
        <f t="shared" ref="B11:B12" si="26">1</f>
        <v>1</v>
      </c>
      <c r="C11" s="15">
        <f t="shared" ref="C11:C12" si="27">0</f>
        <v>0</v>
      </c>
      <c r="D11" s="15">
        <f t="shared" ref="D11:F11" si="28">1</f>
        <v>1</v>
      </c>
      <c r="E11" s="15">
        <f t="shared" si="28"/>
        <v>1</v>
      </c>
      <c r="F11" s="15">
        <f t="shared" si="28"/>
        <v>1</v>
      </c>
      <c r="G11" s="15">
        <f>0</f>
        <v>0</v>
      </c>
      <c r="H11" s="15">
        <f t="shared" ref="H11:K11" si="29">1</f>
        <v>1</v>
      </c>
      <c r="I11" s="15">
        <f t="shared" si="29"/>
        <v>1</v>
      </c>
      <c r="J11" s="15">
        <f t="shared" si="29"/>
        <v>1</v>
      </c>
      <c r="K11" s="15">
        <f t="shared" si="29"/>
        <v>1</v>
      </c>
    </row>
    <row r="12" spans="1:16" ht="30.75" customHeight="1" x14ac:dyDescent="0.15">
      <c r="B12" s="15">
        <f t="shared" si="26"/>
        <v>1</v>
      </c>
      <c r="C12" s="15">
        <f t="shared" si="27"/>
        <v>0</v>
      </c>
      <c r="D12" s="15">
        <f>0</f>
        <v>0</v>
      </c>
      <c r="E12" s="15">
        <f>1</f>
        <v>1</v>
      </c>
      <c r="F12" s="15">
        <f>0</f>
        <v>0</v>
      </c>
      <c r="G12" s="15">
        <f>1</f>
        <v>1</v>
      </c>
      <c r="H12" s="15">
        <f>0</f>
        <v>0</v>
      </c>
      <c r="I12" s="15">
        <f t="shared" ref="I12:J12" si="30">1</f>
        <v>1</v>
      </c>
      <c r="J12" s="15">
        <f t="shared" si="30"/>
        <v>1</v>
      </c>
      <c r="K12" s="15">
        <f>0</f>
        <v>0</v>
      </c>
    </row>
    <row r="13" spans="1:16" ht="30.75" customHeight="1" x14ac:dyDescent="0.15"/>
    <row r="14" spans="1:16" ht="30.75" customHeight="1" x14ac:dyDescent="0.15">
      <c r="A14" s="1"/>
      <c r="B14" s="3"/>
    </row>
    <row r="15" spans="1:16" ht="30.75" customHeight="1" x14ac:dyDescent="0.15">
      <c r="A15" s="1"/>
      <c r="B15" s="5"/>
    </row>
    <row r="16" spans="1:16" ht="30.75" customHeight="1" x14ac:dyDescent="0.15">
      <c r="A16" s="1"/>
      <c r="B16" s="5"/>
    </row>
    <row r="17" spans="2:2" ht="13" x14ac:dyDescent="0.15">
      <c r="B17" s="6"/>
    </row>
    <row r="18" spans="2:2" ht="13" x14ac:dyDescent="0.15">
      <c r="B18" s="6"/>
    </row>
    <row r="19" spans="2:2" ht="13" x14ac:dyDescent="0.15">
      <c r="B19" s="6"/>
    </row>
  </sheetData>
  <mergeCells count="2">
    <mergeCell ref="O2:P2"/>
    <mergeCell ref="O5:P5"/>
  </mergeCells>
  <conditionalFormatting sqref="B2:K12">
    <cfRule type="expression" dxfId="1" priority="1">
      <formula>NOT(ISERROR(SEARCH((1),(B2))))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2:P17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2" spans="1:16" ht="30.75" customHeight="1" x14ac:dyDescent="0.15">
      <c r="A2" s="4" t="s">
        <v>12</v>
      </c>
      <c r="N2" s="14" t="s">
        <v>32</v>
      </c>
    </row>
    <row r="3" spans="1:16" ht="30.75" customHeight="1" x14ac:dyDescent="0.15">
      <c r="B3" s="15">
        <v>0</v>
      </c>
      <c r="C3" s="27">
        <v>1</v>
      </c>
      <c r="D3" s="27">
        <v>1</v>
      </c>
      <c r="E3" s="27">
        <v>1</v>
      </c>
      <c r="F3" s="27">
        <v>1</v>
      </c>
      <c r="G3" s="15">
        <v>0</v>
      </c>
      <c r="H3" s="27">
        <v>1</v>
      </c>
      <c r="I3" s="15">
        <v>0</v>
      </c>
      <c r="J3" s="27">
        <v>1</v>
      </c>
      <c r="K3" s="15">
        <v>0</v>
      </c>
      <c r="N3" s="16" t="s">
        <v>33</v>
      </c>
      <c r="O3" s="36" t="s">
        <v>34</v>
      </c>
      <c r="P3" s="37"/>
    </row>
    <row r="4" spans="1:16" ht="30.75" customHeight="1" x14ac:dyDescent="0.15">
      <c r="B4" s="15">
        <v>0</v>
      </c>
      <c r="C4" s="15">
        <v>0</v>
      </c>
      <c r="D4" s="15">
        <v>0</v>
      </c>
      <c r="E4" s="27">
        <v>1</v>
      </c>
      <c r="F4" s="27">
        <v>1</v>
      </c>
      <c r="G4" s="15">
        <v>0</v>
      </c>
      <c r="H4" s="27">
        <v>1</v>
      </c>
      <c r="I4" s="27">
        <v>1</v>
      </c>
      <c r="J4" s="27">
        <v>1</v>
      </c>
      <c r="K4" s="27">
        <v>1</v>
      </c>
      <c r="N4" s="17" t="s">
        <v>35</v>
      </c>
      <c r="O4" s="17">
        <v>59</v>
      </c>
      <c r="P4" s="17"/>
    </row>
    <row r="5" spans="1:16" ht="30.75" customHeight="1" x14ac:dyDescent="0.15">
      <c r="B5" s="27">
        <v>1</v>
      </c>
      <c r="C5" s="15">
        <v>0</v>
      </c>
      <c r="D5" s="15">
        <v>0</v>
      </c>
      <c r="E5" s="27">
        <v>1</v>
      </c>
      <c r="F5" s="15">
        <v>0</v>
      </c>
      <c r="G5" s="15">
        <v>1</v>
      </c>
      <c r="H5" s="15">
        <v>0</v>
      </c>
      <c r="I5" s="27">
        <v>1</v>
      </c>
      <c r="J5" s="27">
        <v>1</v>
      </c>
      <c r="K5" s="27">
        <v>1</v>
      </c>
      <c r="N5" s="18" t="s">
        <v>53</v>
      </c>
      <c r="O5" s="17"/>
      <c r="P5" s="17"/>
    </row>
    <row r="6" spans="1:16" ht="30.75" customHeight="1" x14ac:dyDescent="0.15">
      <c r="B6" s="15">
        <v>0</v>
      </c>
      <c r="C6" s="15">
        <v>0</v>
      </c>
      <c r="D6" s="27">
        <v>1</v>
      </c>
      <c r="E6" s="15">
        <v>0</v>
      </c>
      <c r="F6" s="27">
        <v>1</v>
      </c>
      <c r="G6" s="27">
        <v>1</v>
      </c>
      <c r="H6" s="15">
        <v>0</v>
      </c>
      <c r="I6" s="15">
        <v>0</v>
      </c>
      <c r="J6" s="27">
        <v>1</v>
      </c>
      <c r="K6" s="27">
        <v>1</v>
      </c>
      <c r="N6" s="17"/>
      <c r="O6" s="36" t="s">
        <v>37</v>
      </c>
      <c r="P6" s="37"/>
    </row>
    <row r="7" spans="1:16" ht="30.75" customHeight="1" x14ac:dyDescent="0.15">
      <c r="B7" s="27">
        <v>1</v>
      </c>
      <c r="C7" s="27">
        <v>1</v>
      </c>
      <c r="D7" s="27">
        <v>1</v>
      </c>
      <c r="E7" s="15">
        <v>0</v>
      </c>
      <c r="F7" s="15">
        <v>0</v>
      </c>
      <c r="G7" s="15">
        <v>0</v>
      </c>
      <c r="H7" s="15">
        <v>0</v>
      </c>
      <c r="I7" s="27">
        <v>1</v>
      </c>
      <c r="J7" s="15">
        <v>0</v>
      </c>
      <c r="K7" s="27">
        <v>1</v>
      </c>
      <c r="N7" s="17"/>
      <c r="O7" s="19" t="s">
        <v>38</v>
      </c>
      <c r="P7" s="19" t="s">
        <v>39</v>
      </c>
    </row>
    <row r="8" spans="1:16" ht="30.75" customHeight="1" x14ac:dyDescent="0.15">
      <c r="B8" s="27">
        <v>1</v>
      </c>
      <c r="C8" s="15">
        <v>0</v>
      </c>
      <c r="D8" s="27">
        <v>1</v>
      </c>
      <c r="E8" s="15">
        <v>0</v>
      </c>
      <c r="F8" s="15">
        <v>0</v>
      </c>
      <c r="G8" s="27">
        <v>1</v>
      </c>
      <c r="H8" s="27">
        <v>1</v>
      </c>
      <c r="I8" s="27">
        <v>1</v>
      </c>
      <c r="J8" s="15">
        <v>0</v>
      </c>
      <c r="K8" s="15">
        <v>0</v>
      </c>
      <c r="N8" s="17" t="s">
        <v>40</v>
      </c>
      <c r="O8" s="17"/>
      <c r="P8" s="17"/>
    </row>
    <row r="9" spans="1:16" ht="30.75" customHeight="1" x14ac:dyDescent="0.15">
      <c r="B9" s="15">
        <v>0</v>
      </c>
      <c r="C9" s="27">
        <v>1</v>
      </c>
      <c r="D9" s="15">
        <v>0</v>
      </c>
      <c r="E9" s="27">
        <v>1</v>
      </c>
      <c r="F9" s="27">
        <v>1</v>
      </c>
      <c r="G9" s="15">
        <v>0</v>
      </c>
      <c r="H9" s="27">
        <v>1</v>
      </c>
      <c r="I9" s="15">
        <v>0</v>
      </c>
      <c r="J9" s="15">
        <v>0</v>
      </c>
      <c r="K9" s="15">
        <v>0</v>
      </c>
      <c r="N9" s="17" t="s">
        <v>41</v>
      </c>
      <c r="O9" s="17"/>
      <c r="P9" s="17"/>
    </row>
    <row r="10" spans="1:16" ht="30.75" customHeight="1" x14ac:dyDescent="0.15">
      <c r="B10" s="15">
        <v>0</v>
      </c>
      <c r="C10" s="27">
        <v>1</v>
      </c>
      <c r="D10" s="15">
        <v>0</v>
      </c>
      <c r="E10" s="15">
        <v>0</v>
      </c>
      <c r="F10" s="27">
        <v>1</v>
      </c>
      <c r="G10" s="27">
        <v>1</v>
      </c>
      <c r="H10" s="27">
        <v>1</v>
      </c>
      <c r="I10" s="15">
        <v>0</v>
      </c>
      <c r="J10" s="27">
        <v>1</v>
      </c>
      <c r="K10" s="15">
        <v>0</v>
      </c>
      <c r="N10" s="17" t="s">
        <v>42</v>
      </c>
      <c r="O10" s="17"/>
      <c r="P10" s="17"/>
    </row>
    <row r="11" spans="1:16" ht="30.75" customHeight="1" x14ac:dyDescent="0.15">
      <c r="B11" s="27">
        <v>1</v>
      </c>
      <c r="C11" s="27">
        <v>1</v>
      </c>
      <c r="D11" s="27">
        <v>1</v>
      </c>
      <c r="E11" s="27">
        <v>1</v>
      </c>
      <c r="F11" s="15">
        <v>0</v>
      </c>
      <c r="G11" s="27">
        <v>1</v>
      </c>
      <c r="H11" s="27">
        <v>1</v>
      </c>
      <c r="I11" s="15">
        <v>0</v>
      </c>
      <c r="J11" s="27">
        <v>1</v>
      </c>
      <c r="K11" s="15">
        <v>0</v>
      </c>
    </row>
    <row r="12" spans="1:16" ht="30.75" customHeight="1" x14ac:dyDescent="0.15">
      <c r="B12" s="15">
        <v>0</v>
      </c>
      <c r="C12" s="15">
        <v>0</v>
      </c>
      <c r="D12" s="27">
        <v>1</v>
      </c>
      <c r="E12" s="15">
        <v>0</v>
      </c>
      <c r="F12" s="15">
        <v>0</v>
      </c>
      <c r="G12" s="27">
        <v>1</v>
      </c>
      <c r="H12" s="15">
        <v>0</v>
      </c>
      <c r="I12" s="27">
        <v>1</v>
      </c>
      <c r="J12" s="27">
        <v>1</v>
      </c>
      <c r="K12" s="27">
        <v>1</v>
      </c>
    </row>
    <row r="13" spans="1:16" ht="30.75" customHeight="1" x14ac:dyDescent="0.15">
      <c r="B13" s="27">
        <v>1</v>
      </c>
      <c r="C13" s="27">
        <v>1</v>
      </c>
      <c r="D13" s="27">
        <v>1</v>
      </c>
      <c r="E13" s="15">
        <v>0</v>
      </c>
      <c r="F13" s="27">
        <v>1</v>
      </c>
      <c r="G13" s="27">
        <v>1</v>
      </c>
      <c r="H13" s="15">
        <v>0</v>
      </c>
      <c r="I13" s="15">
        <v>0</v>
      </c>
      <c r="J13" s="15">
        <v>0</v>
      </c>
      <c r="K13" s="27">
        <v>1</v>
      </c>
    </row>
    <row r="14" spans="1:16" ht="30.75" customHeight="1" x14ac:dyDescent="0.15"/>
    <row r="15" spans="1:16" ht="30.75" customHeight="1" x14ac:dyDescent="0.15"/>
    <row r="16" spans="1:16" ht="30.75" customHeight="1" x14ac:dyDescent="0.15"/>
    <row r="17" ht="30.75" customHeight="1" x14ac:dyDescent="0.15"/>
  </sheetData>
  <mergeCells count="2">
    <mergeCell ref="O3:P3"/>
    <mergeCell ref="O6:P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/>
      <c r="N1" s="14" t="s">
        <v>32</v>
      </c>
    </row>
    <row r="2" spans="1:16" ht="30.75" customHeight="1" x14ac:dyDescent="0.15">
      <c r="B2" s="28">
        <v>1</v>
      </c>
      <c r="C2" s="15">
        <v>0</v>
      </c>
      <c r="D2" s="28">
        <v>1</v>
      </c>
      <c r="E2" s="28">
        <v>1</v>
      </c>
      <c r="F2" s="28">
        <v>1</v>
      </c>
      <c r="G2" s="15">
        <v>0</v>
      </c>
      <c r="H2" s="28">
        <v>1</v>
      </c>
      <c r="I2" s="15">
        <v>0</v>
      </c>
      <c r="J2" s="15">
        <v>0</v>
      </c>
      <c r="K2" s="28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15">
        <v>0</v>
      </c>
      <c r="C3" s="28">
        <v>1</v>
      </c>
      <c r="D3" s="15">
        <v>0</v>
      </c>
      <c r="E3" s="15">
        <v>0</v>
      </c>
      <c r="F3" s="28">
        <v>1</v>
      </c>
      <c r="G3" s="28">
        <v>1</v>
      </c>
      <c r="H3" s="15">
        <v>0</v>
      </c>
      <c r="I3" s="28">
        <v>1</v>
      </c>
      <c r="J3" s="15">
        <v>0</v>
      </c>
      <c r="K3" s="28">
        <v>1</v>
      </c>
      <c r="N3" s="17" t="s">
        <v>35</v>
      </c>
      <c r="O3" s="17">
        <v>55</v>
      </c>
      <c r="P3" s="17"/>
    </row>
    <row r="4" spans="1:16" ht="30.75" customHeight="1" x14ac:dyDescent="0.15">
      <c r="B4" s="28">
        <v>1</v>
      </c>
      <c r="C4" s="15">
        <v>0</v>
      </c>
      <c r="D4" s="28">
        <v>1</v>
      </c>
      <c r="E4" s="15">
        <v>0</v>
      </c>
      <c r="F4" s="15">
        <v>0</v>
      </c>
      <c r="G4" s="15">
        <v>0</v>
      </c>
      <c r="H4" s="28">
        <v>1</v>
      </c>
      <c r="I4" s="15">
        <v>0</v>
      </c>
      <c r="J4" s="15">
        <v>0</v>
      </c>
      <c r="K4" s="28">
        <v>1</v>
      </c>
      <c r="N4" s="18" t="s">
        <v>54</v>
      </c>
      <c r="O4" s="17">
        <v>0.5</v>
      </c>
      <c r="P4" s="17"/>
    </row>
    <row r="5" spans="1:16" ht="30.75" customHeight="1" x14ac:dyDescent="0.15">
      <c r="B5" s="15">
        <v>0</v>
      </c>
      <c r="C5" s="28">
        <v>1</v>
      </c>
      <c r="D5" s="15">
        <v>0</v>
      </c>
      <c r="E5" s="28">
        <v>1</v>
      </c>
      <c r="F5" s="15">
        <v>0</v>
      </c>
      <c r="G5" s="15">
        <v>0</v>
      </c>
      <c r="H5" s="28">
        <v>1</v>
      </c>
      <c r="I5" s="15">
        <v>0</v>
      </c>
      <c r="J5" s="28">
        <v>1</v>
      </c>
      <c r="K5" s="15">
        <v>0</v>
      </c>
      <c r="N5" s="17"/>
      <c r="O5" s="36" t="s">
        <v>37</v>
      </c>
      <c r="P5" s="37"/>
    </row>
    <row r="6" spans="1:16" ht="30.75" customHeight="1" x14ac:dyDescent="0.15">
      <c r="B6" s="28">
        <v>1</v>
      </c>
      <c r="C6" s="15">
        <v>0</v>
      </c>
      <c r="D6" s="15">
        <v>0</v>
      </c>
      <c r="E6" s="28">
        <v>1</v>
      </c>
      <c r="F6" s="28">
        <v>1</v>
      </c>
      <c r="G6" s="15">
        <v>0</v>
      </c>
      <c r="H6" s="28">
        <v>1</v>
      </c>
      <c r="I6" s="15">
        <v>1</v>
      </c>
      <c r="J6" s="28">
        <v>1</v>
      </c>
      <c r="K6" s="15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28">
        <v>1</v>
      </c>
      <c r="C7" s="15">
        <v>0</v>
      </c>
      <c r="D7" s="28">
        <v>1</v>
      </c>
      <c r="E7" s="15">
        <v>0</v>
      </c>
      <c r="F7" s="15">
        <v>0</v>
      </c>
      <c r="G7" s="15">
        <v>0</v>
      </c>
      <c r="H7" s="15">
        <v>0</v>
      </c>
      <c r="I7" s="28">
        <v>1</v>
      </c>
      <c r="J7" s="28">
        <v>1</v>
      </c>
      <c r="K7" s="28">
        <v>1</v>
      </c>
      <c r="N7" s="17" t="s">
        <v>40</v>
      </c>
      <c r="O7" s="17">
        <v>18</v>
      </c>
      <c r="P7" s="17">
        <v>2</v>
      </c>
    </row>
    <row r="8" spans="1:16" ht="30.75" customHeight="1" x14ac:dyDescent="0.15">
      <c r="B8" s="28">
        <v>1</v>
      </c>
      <c r="C8" s="15">
        <v>0</v>
      </c>
      <c r="D8" s="28">
        <v>1</v>
      </c>
      <c r="E8" s="28">
        <v>1</v>
      </c>
      <c r="F8" s="15">
        <v>0</v>
      </c>
      <c r="G8" s="28">
        <v>1</v>
      </c>
      <c r="H8" s="15">
        <v>0</v>
      </c>
      <c r="I8" s="28">
        <v>1</v>
      </c>
      <c r="J8" s="15">
        <v>0</v>
      </c>
      <c r="K8" s="15">
        <v>0</v>
      </c>
      <c r="N8" s="17" t="s">
        <v>41</v>
      </c>
      <c r="O8" s="17">
        <v>11</v>
      </c>
      <c r="P8" s="17">
        <v>53</v>
      </c>
    </row>
    <row r="9" spans="1:16" ht="30.75" customHeight="1" x14ac:dyDescent="0.15">
      <c r="B9" s="15">
        <v>0</v>
      </c>
      <c r="C9" s="28">
        <v>1</v>
      </c>
      <c r="D9" s="28">
        <v>1</v>
      </c>
      <c r="E9" s="15">
        <v>0</v>
      </c>
      <c r="F9" s="28">
        <v>1</v>
      </c>
      <c r="G9" s="15">
        <v>0</v>
      </c>
      <c r="H9" s="28">
        <v>1</v>
      </c>
      <c r="I9" s="15">
        <v>0</v>
      </c>
      <c r="J9" s="15">
        <v>0</v>
      </c>
      <c r="K9" s="28">
        <v>1</v>
      </c>
      <c r="N9" s="17" t="s">
        <v>42</v>
      </c>
      <c r="O9" s="17">
        <v>51</v>
      </c>
      <c r="P9" s="17">
        <v>8</v>
      </c>
    </row>
    <row r="10" spans="1:16" ht="30.75" customHeight="1" x14ac:dyDescent="0.15">
      <c r="B10" s="28">
        <v>1</v>
      </c>
      <c r="C10" s="28">
        <v>1</v>
      </c>
      <c r="D10" s="15">
        <v>0</v>
      </c>
      <c r="E10" s="15">
        <v>0</v>
      </c>
      <c r="F10" s="28">
        <v>1</v>
      </c>
      <c r="G10" s="15">
        <v>0</v>
      </c>
      <c r="H10" s="28">
        <v>1</v>
      </c>
      <c r="I10" s="28">
        <v>1</v>
      </c>
      <c r="J10" s="15">
        <v>0</v>
      </c>
      <c r="K10" s="28">
        <v>1</v>
      </c>
    </row>
    <row r="11" spans="1:16" ht="30.75" customHeight="1" x14ac:dyDescent="0.15">
      <c r="B11" s="28">
        <v>1</v>
      </c>
      <c r="C11" s="15">
        <v>0</v>
      </c>
      <c r="D11" s="28">
        <v>1</v>
      </c>
      <c r="E11" s="15">
        <v>0</v>
      </c>
      <c r="F11" s="28">
        <v>1</v>
      </c>
      <c r="G11" s="28">
        <v>1</v>
      </c>
      <c r="H11" s="15">
        <v>0</v>
      </c>
      <c r="I11" s="28">
        <v>1</v>
      </c>
      <c r="J11" s="15">
        <v>0</v>
      </c>
      <c r="K11" s="15">
        <v>0</v>
      </c>
    </row>
    <row r="12" spans="1:16" ht="30.75" customHeight="1" x14ac:dyDescent="0.15">
      <c r="B12" s="28">
        <v>1</v>
      </c>
      <c r="C12" s="15">
        <v>0</v>
      </c>
      <c r="D12" s="28">
        <v>1</v>
      </c>
      <c r="E12" s="15">
        <v>0</v>
      </c>
      <c r="F12" s="15">
        <v>0</v>
      </c>
      <c r="G12" s="28">
        <v>1</v>
      </c>
      <c r="H12" s="28">
        <v>1</v>
      </c>
      <c r="I12" s="28">
        <v>1</v>
      </c>
      <c r="J12" s="15">
        <v>0</v>
      </c>
      <c r="K12" s="15">
        <v>0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15">
        <v>0</v>
      </c>
      <c r="C2" s="29">
        <v>1</v>
      </c>
      <c r="D2" s="29">
        <v>1</v>
      </c>
      <c r="E2" s="29">
        <v>1</v>
      </c>
      <c r="F2" s="15">
        <v>0</v>
      </c>
      <c r="G2" s="29">
        <v>1</v>
      </c>
      <c r="H2" s="29">
        <v>1</v>
      </c>
      <c r="I2" s="29">
        <v>1</v>
      </c>
      <c r="J2" s="29">
        <v>1</v>
      </c>
      <c r="K2" s="29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29">
        <v>1</v>
      </c>
      <c r="C3" s="15">
        <v>0</v>
      </c>
      <c r="D3" s="15">
        <v>0</v>
      </c>
      <c r="E3" s="15">
        <v>0</v>
      </c>
      <c r="F3" s="29">
        <v>1</v>
      </c>
      <c r="G3" s="29">
        <v>1</v>
      </c>
      <c r="H3" s="29">
        <v>1</v>
      </c>
      <c r="I3" s="29">
        <v>1</v>
      </c>
      <c r="J3" s="15">
        <v>0</v>
      </c>
      <c r="K3" s="29">
        <v>1</v>
      </c>
      <c r="N3" s="17" t="s">
        <v>35</v>
      </c>
      <c r="O3" s="17">
        <v>54</v>
      </c>
      <c r="P3" s="17"/>
    </row>
    <row r="4" spans="1:16" ht="30.75" customHeight="1" x14ac:dyDescent="0.15"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29">
        <v>1</v>
      </c>
      <c r="J4" s="15">
        <v>0</v>
      </c>
      <c r="K4" s="29">
        <v>1</v>
      </c>
      <c r="N4" s="18" t="s">
        <v>55</v>
      </c>
      <c r="O4" s="17">
        <v>0.49</v>
      </c>
      <c r="P4" s="17"/>
    </row>
    <row r="5" spans="1:16" ht="30.75" customHeight="1" x14ac:dyDescent="0.15">
      <c r="B5" s="15">
        <v>0</v>
      </c>
      <c r="C5" s="15">
        <v>0</v>
      </c>
      <c r="D5" s="29">
        <v>1</v>
      </c>
      <c r="E5" s="15">
        <v>0</v>
      </c>
      <c r="F5" s="15">
        <v>0</v>
      </c>
      <c r="G5" s="15">
        <v>0</v>
      </c>
      <c r="H5" s="15">
        <v>0</v>
      </c>
      <c r="I5" s="29">
        <v>1</v>
      </c>
      <c r="J5" s="15">
        <v>0</v>
      </c>
      <c r="K5" s="29">
        <v>1</v>
      </c>
      <c r="N5" s="17"/>
      <c r="O5" s="36" t="s">
        <v>37</v>
      </c>
      <c r="P5" s="37"/>
    </row>
    <row r="6" spans="1:16" ht="30.75" customHeight="1" x14ac:dyDescent="0.15">
      <c r="B6" s="15">
        <v>0</v>
      </c>
      <c r="C6" s="15">
        <v>0</v>
      </c>
      <c r="D6" s="29">
        <v>1</v>
      </c>
      <c r="E6" s="15">
        <v>0</v>
      </c>
      <c r="F6" s="15">
        <v>0</v>
      </c>
      <c r="G6" s="29">
        <v>1</v>
      </c>
      <c r="H6" s="15">
        <v>0</v>
      </c>
      <c r="I6" s="29">
        <v>1</v>
      </c>
      <c r="J6" s="15">
        <v>0</v>
      </c>
      <c r="K6" s="29">
        <v>1</v>
      </c>
      <c r="N6" s="17"/>
      <c r="O6" s="19" t="s">
        <v>38</v>
      </c>
      <c r="P6" s="19" t="s">
        <v>39</v>
      </c>
    </row>
    <row r="7" spans="1:16" ht="30.75" customHeight="1" x14ac:dyDescent="0.15"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15">
        <v>0</v>
      </c>
      <c r="H7" s="15">
        <v>0</v>
      </c>
      <c r="I7" s="29">
        <v>1</v>
      </c>
      <c r="J7" s="15">
        <v>0</v>
      </c>
      <c r="K7" s="29">
        <v>1</v>
      </c>
      <c r="N7" s="17" t="s">
        <v>40</v>
      </c>
      <c r="O7" s="17">
        <v>11</v>
      </c>
      <c r="P7" s="17">
        <v>3</v>
      </c>
    </row>
    <row r="8" spans="1:16" ht="30.75" customHeight="1" x14ac:dyDescent="0.15">
      <c r="B8" s="29">
        <v>1</v>
      </c>
      <c r="C8" s="15">
        <v>0</v>
      </c>
      <c r="D8" s="15">
        <v>0</v>
      </c>
      <c r="E8" s="15">
        <v>0</v>
      </c>
      <c r="F8" s="29">
        <v>1</v>
      </c>
      <c r="G8" s="15">
        <v>0</v>
      </c>
      <c r="H8" s="29">
        <v>1</v>
      </c>
      <c r="I8" s="29">
        <v>1</v>
      </c>
      <c r="J8" s="15">
        <v>0</v>
      </c>
      <c r="K8" s="29">
        <v>1</v>
      </c>
      <c r="N8" s="17" t="s">
        <v>41</v>
      </c>
      <c r="O8" s="17">
        <v>21</v>
      </c>
      <c r="P8" s="17">
        <v>52</v>
      </c>
    </row>
    <row r="9" spans="1:16" ht="30.75" customHeight="1" x14ac:dyDescent="0.15">
      <c r="B9" s="15">
        <v>0</v>
      </c>
      <c r="C9" s="15">
        <v>0</v>
      </c>
      <c r="D9" s="29">
        <v>1</v>
      </c>
      <c r="E9" s="29">
        <v>1</v>
      </c>
      <c r="F9" s="15">
        <v>0</v>
      </c>
      <c r="G9" s="29">
        <v>1</v>
      </c>
      <c r="H9" s="15">
        <v>0</v>
      </c>
      <c r="I9" s="15">
        <v>0</v>
      </c>
      <c r="J9" s="15">
        <v>0</v>
      </c>
      <c r="K9" s="15">
        <v>0</v>
      </c>
      <c r="N9" s="17" t="s">
        <v>42</v>
      </c>
      <c r="O9" s="17">
        <v>96</v>
      </c>
      <c r="P9" s="17">
        <v>96</v>
      </c>
    </row>
    <row r="10" spans="1:16" ht="30.75" customHeight="1" x14ac:dyDescent="0.15">
      <c r="B10" s="29">
        <v>1</v>
      </c>
      <c r="C10" s="15">
        <v>0</v>
      </c>
      <c r="D10" s="15">
        <v>0</v>
      </c>
      <c r="E10" s="29">
        <v>1</v>
      </c>
      <c r="F10" s="29">
        <v>1</v>
      </c>
      <c r="G10" s="29">
        <v>1</v>
      </c>
      <c r="H10" s="15">
        <v>0</v>
      </c>
      <c r="I10" s="29">
        <v>1</v>
      </c>
      <c r="J10" s="29">
        <v>1</v>
      </c>
      <c r="K10" s="29">
        <v>1</v>
      </c>
    </row>
    <row r="11" spans="1:16" ht="30.75" customHeight="1" x14ac:dyDescent="0.15">
      <c r="B11" s="15">
        <v>0</v>
      </c>
      <c r="C11" s="15">
        <v>0</v>
      </c>
      <c r="D11" s="15">
        <v>0</v>
      </c>
      <c r="E11" s="29">
        <v>1</v>
      </c>
      <c r="F11" s="29">
        <v>1</v>
      </c>
      <c r="G11" s="15">
        <v>0</v>
      </c>
      <c r="H11" s="29">
        <v>1</v>
      </c>
      <c r="I11" s="15">
        <v>0</v>
      </c>
      <c r="J11" s="29">
        <v>1</v>
      </c>
      <c r="K11" s="29">
        <v>1</v>
      </c>
      <c r="N11" s="4"/>
    </row>
    <row r="12" spans="1:16" ht="30.75" customHeight="1" x14ac:dyDescent="0.15">
      <c r="B12" s="29">
        <v>1</v>
      </c>
      <c r="C12" s="15">
        <v>0</v>
      </c>
      <c r="D12" s="15">
        <v>0</v>
      </c>
      <c r="E12" s="15">
        <v>0</v>
      </c>
      <c r="F12" s="29">
        <v>1</v>
      </c>
      <c r="G12" s="29">
        <v>1</v>
      </c>
      <c r="H12" s="15">
        <v>0</v>
      </c>
      <c r="I12" s="29">
        <v>1</v>
      </c>
      <c r="J12" s="15">
        <v>0</v>
      </c>
      <c r="K12" s="15">
        <v>0</v>
      </c>
      <c r="N12" s="4"/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30">
        <v>1</v>
      </c>
      <c r="C2" s="15">
        <v>0</v>
      </c>
      <c r="D2" s="30">
        <v>1</v>
      </c>
      <c r="E2" s="30">
        <v>1</v>
      </c>
      <c r="F2" s="30">
        <v>1</v>
      </c>
      <c r="G2" s="15">
        <v>0</v>
      </c>
      <c r="H2" s="30">
        <v>1</v>
      </c>
      <c r="I2" s="30">
        <v>1</v>
      </c>
      <c r="J2" s="15">
        <v>0</v>
      </c>
      <c r="K2" s="15">
        <v>0</v>
      </c>
      <c r="N2" s="16" t="s">
        <v>33</v>
      </c>
      <c r="O2" s="36" t="s">
        <v>34</v>
      </c>
      <c r="P2" s="37"/>
    </row>
    <row r="3" spans="1:16" ht="30.75" customHeight="1" x14ac:dyDescent="0.15">
      <c r="B3" s="30">
        <v>1</v>
      </c>
      <c r="C3" s="15">
        <v>0</v>
      </c>
      <c r="D3" s="30">
        <v>1</v>
      </c>
      <c r="E3" s="15">
        <v>0</v>
      </c>
      <c r="F3" s="15">
        <v>0</v>
      </c>
      <c r="G3" s="15">
        <v>0</v>
      </c>
      <c r="H3" s="30">
        <v>1</v>
      </c>
      <c r="I3" s="30">
        <v>1</v>
      </c>
      <c r="J3" s="30">
        <v>1</v>
      </c>
      <c r="K3" s="15">
        <v>0</v>
      </c>
      <c r="N3" s="17" t="s">
        <v>35</v>
      </c>
      <c r="O3" s="17">
        <v>53</v>
      </c>
      <c r="P3" s="17">
        <v>57</v>
      </c>
    </row>
    <row r="4" spans="1:16" ht="30.75" customHeight="1" x14ac:dyDescent="0.15">
      <c r="B4" s="30">
        <v>1</v>
      </c>
      <c r="C4" s="15">
        <v>0</v>
      </c>
      <c r="D4" s="15">
        <v>0</v>
      </c>
      <c r="E4" s="15">
        <v>0</v>
      </c>
      <c r="F4" s="15">
        <v>0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N4" s="18" t="s">
        <v>56</v>
      </c>
      <c r="O4" s="17">
        <v>0.48</v>
      </c>
      <c r="P4" s="17">
        <v>0.52</v>
      </c>
    </row>
    <row r="5" spans="1:16" ht="30.75" customHeight="1" x14ac:dyDescent="0.15">
      <c r="B5" s="30">
        <v>1</v>
      </c>
      <c r="C5" s="30">
        <v>1</v>
      </c>
      <c r="D5" s="30">
        <v>1</v>
      </c>
      <c r="E5" s="15">
        <v>0</v>
      </c>
      <c r="F5" s="30">
        <v>1</v>
      </c>
      <c r="G5" s="30">
        <v>1</v>
      </c>
      <c r="H5" s="15">
        <v>0</v>
      </c>
      <c r="I5" s="15">
        <v>0</v>
      </c>
      <c r="J5" s="15">
        <v>0</v>
      </c>
      <c r="K5" s="30">
        <v>1</v>
      </c>
      <c r="N5" s="17"/>
      <c r="O5" s="36" t="s">
        <v>37</v>
      </c>
      <c r="P5" s="37"/>
    </row>
    <row r="6" spans="1:16" ht="30.75" customHeight="1" x14ac:dyDescent="0.15">
      <c r="B6" s="15">
        <v>0</v>
      </c>
      <c r="C6" s="15">
        <v>0</v>
      </c>
      <c r="D6" s="30">
        <v>1</v>
      </c>
      <c r="E6" s="30">
        <v>1</v>
      </c>
      <c r="F6" s="30">
        <v>1</v>
      </c>
      <c r="G6" s="30">
        <v>1</v>
      </c>
      <c r="H6" s="15">
        <v>0</v>
      </c>
      <c r="I6" s="30">
        <v>1</v>
      </c>
      <c r="J6" s="15">
        <v>0</v>
      </c>
      <c r="K6" s="30">
        <v>1</v>
      </c>
      <c r="N6" s="17"/>
      <c r="O6" s="19" t="s">
        <v>38</v>
      </c>
      <c r="P6" s="19" t="s">
        <v>39</v>
      </c>
    </row>
    <row r="7" spans="1:16" ht="30.75" customHeight="1" x14ac:dyDescent="0.15">
      <c r="B7" s="30">
        <v>1</v>
      </c>
      <c r="C7" s="30">
        <v>1</v>
      </c>
      <c r="D7" s="30">
        <v>1</v>
      </c>
      <c r="E7" s="15">
        <v>0</v>
      </c>
      <c r="F7" s="15">
        <v>0</v>
      </c>
      <c r="G7" s="15">
        <v>0</v>
      </c>
      <c r="H7" s="30">
        <v>1</v>
      </c>
      <c r="I7" s="30">
        <v>1</v>
      </c>
      <c r="J7" s="30">
        <v>1</v>
      </c>
      <c r="K7" s="30">
        <v>1</v>
      </c>
      <c r="N7" s="17" t="s">
        <v>40</v>
      </c>
      <c r="O7" s="17">
        <v>7</v>
      </c>
      <c r="P7" s="17">
        <v>4</v>
      </c>
    </row>
    <row r="8" spans="1:16" ht="30.75" customHeight="1" x14ac:dyDescent="0.15">
      <c r="B8" s="30">
        <v>1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N8" s="17" t="s">
        <v>41</v>
      </c>
      <c r="O8" s="17">
        <v>35</v>
      </c>
      <c r="P8" s="17">
        <v>51</v>
      </c>
    </row>
    <row r="9" spans="1:16" ht="30.75" customHeight="1" x14ac:dyDescent="0.15">
      <c r="B9" s="30">
        <v>1</v>
      </c>
      <c r="C9" s="30">
        <v>1</v>
      </c>
      <c r="D9" s="15">
        <v>0</v>
      </c>
      <c r="E9" s="30">
        <v>1</v>
      </c>
      <c r="F9" s="15">
        <v>0</v>
      </c>
      <c r="G9" s="30">
        <v>1</v>
      </c>
      <c r="H9" s="15">
        <v>0</v>
      </c>
      <c r="I9" s="15">
        <v>0</v>
      </c>
      <c r="J9" s="15">
        <v>0</v>
      </c>
      <c r="K9" s="30">
        <v>1</v>
      </c>
      <c r="N9" s="17" t="s">
        <v>42</v>
      </c>
      <c r="O9" s="17"/>
      <c r="P9" s="17"/>
    </row>
    <row r="10" spans="1:16" ht="30.75" customHeight="1" x14ac:dyDescent="0.15">
      <c r="B10" s="15">
        <v>0</v>
      </c>
      <c r="C10" s="15">
        <v>0</v>
      </c>
      <c r="D10" s="30">
        <v>1</v>
      </c>
      <c r="E10" s="30">
        <v>1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</row>
    <row r="11" spans="1:16" ht="30.75" customHeight="1" x14ac:dyDescent="0.15">
      <c r="B11" s="15">
        <v>0</v>
      </c>
      <c r="C11" s="30">
        <v>1</v>
      </c>
      <c r="D11" s="15">
        <v>0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</row>
    <row r="12" spans="1:16" ht="30.75" customHeight="1" x14ac:dyDescent="0.15">
      <c r="B12" s="30">
        <v>1</v>
      </c>
      <c r="C12" s="15">
        <v>0</v>
      </c>
      <c r="D12" s="15">
        <v>0</v>
      </c>
      <c r="E12" s="30">
        <v>1</v>
      </c>
      <c r="F12" s="15">
        <v>0</v>
      </c>
      <c r="G12" s="30">
        <v>1</v>
      </c>
      <c r="H12" s="15">
        <v>0</v>
      </c>
      <c r="I12" s="30">
        <v>1</v>
      </c>
      <c r="J12" s="15">
        <v>0</v>
      </c>
      <c r="K12" s="30">
        <v>1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P24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17">
        <v>0</v>
      </c>
      <c r="C2" s="25">
        <v>1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25">
        <v>1</v>
      </c>
      <c r="K2" s="17">
        <v>0</v>
      </c>
      <c r="N2" s="16" t="s">
        <v>33</v>
      </c>
      <c r="O2" s="36" t="s">
        <v>34</v>
      </c>
      <c r="P2" s="37"/>
    </row>
    <row r="3" spans="1:16" ht="30.75" customHeight="1" x14ac:dyDescent="0.15">
      <c r="B3" s="17">
        <v>0</v>
      </c>
      <c r="C3" s="17">
        <v>0</v>
      </c>
      <c r="D3" s="25">
        <v>1</v>
      </c>
      <c r="E3" s="17">
        <v>0</v>
      </c>
      <c r="F3" s="25">
        <v>1</v>
      </c>
      <c r="G3" s="25">
        <v>1</v>
      </c>
      <c r="H3" s="25">
        <v>1</v>
      </c>
      <c r="I3" s="25">
        <v>1</v>
      </c>
      <c r="J3" s="25">
        <v>1</v>
      </c>
      <c r="K3" s="25">
        <v>1</v>
      </c>
      <c r="N3" s="17" t="s">
        <v>35</v>
      </c>
      <c r="O3" s="17">
        <v>51</v>
      </c>
      <c r="P3" s="17"/>
    </row>
    <row r="4" spans="1:16" ht="30.75" customHeight="1" x14ac:dyDescent="0.15">
      <c r="B4" s="25">
        <v>1</v>
      </c>
      <c r="C4" s="17">
        <v>0</v>
      </c>
      <c r="D4" s="25">
        <v>1</v>
      </c>
      <c r="E4" s="17">
        <v>0</v>
      </c>
      <c r="F4" s="25">
        <v>1</v>
      </c>
      <c r="G4" s="17">
        <v>0</v>
      </c>
      <c r="H4" s="31">
        <v>0</v>
      </c>
      <c r="I4" s="17">
        <v>0</v>
      </c>
      <c r="J4" s="17">
        <v>0</v>
      </c>
      <c r="K4" s="25">
        <v>1</v>
      </c>
      <c r="N4" s="18" t="s">
        <v>57</v>
      </c>
      <c r="O4" s="17">
        <v>0.46360000000000001</v>
      </c>
      <c r="P4" s="17"/>
    </row>
    <row r="5" spans="1:16" ht="30.75" customHeight="1" x14ac:dyDescent="0.15">
      <c r="B5" s="17">
        <v>0</v>
      </c>
      <c r="C5" s="17">
        <v>0</v>
      </c>
      <c r="D5" s="17">
        <v>0</v>
      </c>
      <c r="E5" s="25">
        <v>1</v>
      </c>
      <c r="F5" s="17">
        <v>0</v>
      </c>
      <c r="G5" s="25">
        <v>1</v>
      </c>
      <c r="H5" s="25">
        <v>1</v>
      </c>
      <c r="I5" s="25">
        <v>1</v>
      </c>
      <c r="J5" s="25">
        <v>1</v>
      </c>
      <c r="K5" s="17">
        <v>0</v>
      </c>
      <c r="N5" s="17"/>
      <c r="O5" s="36" t="s">
        <v>37</v>
      </c>
      <c r="P5" s="37"/>
    </row>
    <row r="6" spans="1:16" ht="30.75" customHeight="1" x14ac:dyDescent="0.15">
      <c r="B6" s="25">
        <v>1</v>
      </c>
      <c r="C6" s="25">
        <v>1</v>
      </c>
      <c r="D6" s="17">
        <v>0</v>
      </c>
      <c r="E6" s="25">
        <v>1</v>
      </c>
      <c r="F6" s="17">
        <v>0</v>
      </c>
      <c r="G6" s="17">
        <v>0</v>
      </c>
      <c r="H6" s="25">
        <v>1</v>
      </c>
      <c r="I6" s="17">
        <v>0</v>
      </c>
      <c r="J6" s="25">
        <v>1</v>
      </c>
      <c r="K6" s="17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25">
        <v>1</v>
      </c>
      <c r="C7" s="25">
        <v>1</v>
      </c>
      <c r="D7" s="25">
        <v>1</v>
      </c>
      <c r="E7" s="17">
        <v>0</v>
      </c>
      <c r="F7" s="17">
        <v>0</v>
      </c>
      <c r="G7" s="25">
        <v>1</v>
      </c>
      <c r="H7" s="17">
        <v>0</v>
      </c>
      <c r="I7" s="25">
        <v>1</v>
      </c>
      <c r="J7" s="25">
        <v>1</v>
      </c>
      <c r="K7" s="17">
        <v>0</v>
      </c>
      <c r="N7" s="17" t="s">
        <v>40</v>
      </c>
      <c r="O7" s="17">
        <v>14</v>
      </c>
      <c r="P7" s="17">
        <v>4</v>
      </c>
    </row>
    <row r="8" spans="1:16" ht="30.75" customHeight="1" x14ac:dyDescent="0.15">
      <c r="B8" s="25">
        <v>1</v>
      </c>
      <c r="C8" s="25">
        <v>1</v>
      </c>
      <c r="D8" s="17">
        <v>0</v>
      </c>
      <c r="E8" s="25">
        <v>1</v>
      </c>
      <c r="F8" s="17">
        <v>0</v>
      </c>
      <c r="G8" s="17">
        <v>0</v>
      </c>
      <c r="H8" s="17">
        <v>0</v>
      </c>
      <c r="I8" s="25">
        <v>1</v>
      </c>
      <c r="J8" s="17">
        <v>0</v>
      </c>
      <c r="K8" s="17">
        <v>0</v>
      </c>
      <c r="N8" s="17" t="s">
        <v>41</v>
      </c>
      <c r="O8" s="17">
        <v>9</v>
      </c>
      <c r="P8" s="17">
        <v>42</v>
      </c>
    </row>
    <row r="9" spans="1:16" ht="30.75" customHeight="1" x14ac:dyDescent="0.15">
      <c r="B9" s="17">
        <v>0</v>
      </c>
      <c r="C9" s="25">
        <v>1</v>
      </c>
      <c r="D9" s="25">
        <v>1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25">
        <v>1</v>
      </c>
      <c r="K9" s="17">
        <v>0</v>
      </c>
      <c r="N9" s="17" t="s">
        <v>42</v>
      </c>
      <c r="O9" s="17">
        <v>96</v>
      </c>
      <c r="P9" s="17">
        <v>74</v>
      </c>
    </row>
    <row r="10" spans="1:16" ht="30.75" customHeight="1" x14ac:dyDescent="0.15"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25">
        <v>1</v>
      </c>
      <c r="H10" s="17">
        <v>0</v>
      </c>
      <c r="I10" s="17">
        <v>0</v>
      </c>
      <c r="J10" s="25">
        <v>1</v>
      </c>
      <c r="K10" s="25">
        <v>1</v>
      </c>
    </row>
    <row r="11" spans="1:16" ht="30.75" customHeight="1" x14ac:dyDescent="0.15">
      <c r="B11" s="25">
        <v>1</v>
      </c>
      <c r="C11" s="25">
        <v>1</v>
      </c>
      <c r="D11" s="17">
        <v>0</v>
      </c>
      <c r="E11" s="17">
        <v>0</v>
      </c>
      <c r="F11" s="17">
        <v>0</v>
      </c>
      <c r="G11" s="25">
        <v>1</v>
      </c>
      <c r="H11" s="17">
        <v>0</v>
      </c>
      <c r="I11" s="25">
        <v>1</v>
      </c>
      <c r="J11" s="17">
        <v>0</v>
      </c>
      <c r="K11" s="25">
        <v>1</v>
      </c>
    </row>
    <row r="12" spans="1:16" ht="30.75" customHeight="1" x14ac:dyDescent="0.15">
      <c r="B12" s="25">
        <v>1</v>
      </c>
      <c r="C12" s="25">
        <v>1</v>
      </c>
      <c r="D12" s="25">
        <v>1</v>
      </c>
      <c r="E12" s="17">
        <v>0</v>
      </c>
      <c r="F12" s="25">
        <v>1</v>
      </c>
      <c r="G12" s="17">
        <v>0</v>
      </c>
      <c r="H12" s="17">
        <v>0</v>
      </c>
      <c r="I12" s="17">
        <v>0</v>
      </c>
      <c r="J12" s="25">
        <v>1</v>
      </c>
      <c r="K12" s="25">
        <v>1</v>
      </c>
    </row>
    <row r="13" spans="1:16" ht="30.75" customHeight="1" x14ac:dyDescent="0.15">
      <c r="O13" s="6" t="s">
        <v>10</v>
      </c>
    </row>
    <row r="14" spans="1:16" ht="30.75" customHeight="1" x14ac:dyDescent="0.15">
      <c r="O14" s="6" t="s">
        <v>11</v>
      </c>
    </row>
    <row r="15" spans="1:16" ht="30.75" customHeight="1" x14ac:dyDescent="0.15">
      <c r="O15" s="4" t="s">
        <v>12</v>
      </c>
    </row>
    <row r="16" spans="1:16" ht="30.75" customHeight="1" x14ac:dyDescent="0.15"/>
    <row r="17" spans="14:15" ht="13" x14ac:dyDescent="0.15">
      <c r="N17" s="8" t="s">
        <v>15</v>
      </c>
      <c r="O17" s="4" t="s">
        <v>16</v>
      </c>
    </row>
    <row r="18" spans="14:15" ht="13" x14ac:dyDescent="0.15">
      <c r="O18" s="4" t="s">
        <v>12</v>
      </c>
    </row>
    <row r="19" spans="14:15" ht="13" x14ac:dyDescent="0.15">
      <c r="N19" s="8" t="s">
        <v>17</v>
      </c>
      <c r="O19" s="4" t="s">
        <v>18</v>
      </c>
    </row>
    <row r="20" spans="14:15" ht="13" x14ac:dyDescent="0.15">
      <c r="O20" s="4" t="s">
        <v>19</v>
      </c>
    </row>
    <row r="21" spans="14:15" ht="13" x14ac:dyDescent="0.15">
      <c r="O21" s="4" t="s">
        <v>20</v>
      </c>
    </row>
    <row r="22" spans="14:15" ht="13" x14ac:dyDescent="0.15">
      <c r="O22" s="4" t="s">
        <v>21</v>
      </c>
    </row>
    <row r="24" spans="14:15" ht="13" x14ac:dyDescent="0.15">
      <c r="N24" s="8" t="s">
        <v>22</v>
      </c>
      <c r="O24" s="4" t="s">
        <v>23</v>
      </c>
    </row>
  </sheetData>
  <mergeCells count="2">
    <mergeCell ref="O2:P2"/>
    <mergeCell ref="O5:P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15">
        <v>0</v>
      </c>
      <c r="C2" s="15">
        <v>0</v>
      </c>
      <c r="D2" s="15">
        <v>0</v>
      </c>
      <c r="E2" s="15">
        <v>0</v>
      </c>
      <c r="F2" s="32">
        <v>1</v>
      </c>
      <c r="G2" s="15">
        <v>0</v>
      </c>
      <c r="H2" s="32">
        <v>1</v>
      </c>
      <c r="I2" s="15">
        <v>0</v>
      </c>
      <c r="J2" s="32">
        <v>1</v>
      </c>
      <c r="K2" s="32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32">
        <v>1</v>
      </c>
      <c r="C3" s="15">
        <v>0</v>
      </c>
      <c r="D3" s="32">
        <v>1</v>
      </c>
      <c r="E3" s="32">
        <v>1</v>
      </c>
      <c r="F3" s="15">
        <v>0</v>
      </c>
      <c r="G3" s="15">
        <v>0</v>
      </c>
      <c r="H3" s="15">
        <v>0</v>
      </c>
      <c r="I3" s="32">
        <v>1</v>
      </c>
      <c r="J3" s="15">
        <v>0</v>
      </c>
      <c r="K3" s="15">
        <v>0</v>
      </c>
      <c r="N3" s="17" t="s">
        <v>35</v>
      </c>
      <c r="O3" s="17">
        <v>57</v>
      </c>
      <c r="P3" s="17"/>
    </row>
    <row r="4" spans="1:16" ht="30.75" customHeight="1" x14ac:dyDescent="0.15">
      <c r="B4" s="15">
        <v>0</v>
      </c>
      <c r="C4" s="15">
        <v>0</v>
      </c>
      <c r="D4" s="32">
        <v>1</v>
      </c>
      <c r="E4" s="32">
        <v>1</v>
      </c>
      <c r="F4" s="15">
        <v>0</v>
      </c>
      <c r="G4" s="32">
        <v>1</v>
      </c>
      <c r="H4" s="32">
        <v>1</v>
      </c>
      <c r="I4" s="32">
        <v>1</v>
      </c>
      <c r="J4" s="15">
        <v>0</v>
      </c>
      <c r="K4" s="32">
        <v>1</v>
      </c>
      <c r="N4" s="18" t="s">
        <v>58</v>
      </c>
      <c r="O4" s="17">
        <v>0.52</v>
      </c>
      <c r="P4" s="17"/>
    </row>
    <row r="5" spans="1:16" ht="30.75" customHeight="1" x14ac:dyDescent="0.15">
      <c r="B5" s="15">
        <v>0</v>
      </c>
      <c r="C5" s="32">
        <v>1</v>
      </c>
      <c r="D5" s="32">
        <v>1</v>
      </c>
      <c r="E5" s="15">
        <v>0</v>
      </c>
      <c r="F5" s="32">
        <v>1</v>
      </c>
      <c r="G5" s="15">
        <v>0</v>
      </c>
      <c r="H5" s="32">
        <v>1</v>
      </c>
      <c r="I5" s="15">
        <v>0</v>
      </c>
      <c r="J5" s="32">
        <v>1</v>
      </c>
      <c r="K5" s="32">
        <v>1</v>
      </c>
      <c r="N5" s="17"/>
      <c r="O5" s="36" t="s">
        <v>37</v>
      </c>
      <c r="P5" s="37"/>
    </row>
    <row r="6" spans="1:16" ht="30.75" customHeight="1" x14ac:dyDescent="0.15">
      <c r="B6" s="32">
        <v>1</v>
      </c>
      <c r="C6" s="15">
        <v>0</v>
      </c>
      <c r="D6" s="32">
        <v>1</v>
      </c>
      <c r="E6" s="32">
        <v>1</v>
      </c>
      <c r="F6" s="15">
        <v>0</v>
      </c>
      <c r="G6" s="32">
        <v>1</v>
      </c>
      <c r="H6" s="32">
        <v>1</v>
      </c>
      <c r="I6" s="32">
        <v>1</v>
      </c>
      <c r="J6" s="15">
        <v>0</v>
      </c>
      <c r="K6" s="15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32">
        <v>1</v>
      </c>
      <c r="C7" s="32">
        <v>1</v>
      </c>
      <c r="D7" s="15">
        <v>0</v>
      </c>
      <c r="E7" s="15">
        <v>0</v>
      </c>
      <c r="F7" s="32">
        <v>1</v>
      </c>
      <c r="G7" s="32">
        <v>1</v>
      </c>
      <c r="H7" s="32">
        <v>1</v>
      </c>
      <c r="I7" s="32">
        <v>1</v>
      </c>
      <c r="J7" s="32">
        <v>1</v>
      </c>
      <c r="K7" s="15">
        <v>0</v>
      </c>
      <c r="N7" s="17" t="s">
        <v>40</v>
      </c>
      <c r="O7" s="17">
        <v>16</v>
      </c>
      <c r="P7" s="17">
        <v>3</v>
      </c>
    </row>
    <row r="8" spans="1:16" ht="30.75" customHeight="1" x14ac:dyDescent="0.15">
      <c r="B8" s="32">
        <v>1</v>
      </c>
      <c r="C8" s="15">
        <v>0</v>
      </c>
      <c r="D8" s="15">
        <v>0</v>
      </c>
      <c r="E8" s="32">
        <v>1</v>
      </c>
      <c r="F8" s="15">
        <v>0</v>
      </c>
      <c r="G8" s="15">
        <v>0</v>
      </c>
      <c r="H8" s="15">
        <v>0</v>
      </c>
      <c r="I8" s="32">
        <v>1</v>
      </c>
      <c r="J8" s="32">
        <v>1</v>
      </c>
      <c r="K8" s="32">
        <v>1</v>
      </c>
      <c r="N8" s="17" t="s">
        <v>41</v>
      </c>
      <c r="O8" s="17">
        <v>18</v>
      </c>
      <c r="P8" s="17">
        <v>55</v>
      </c>
    </row>
    <row r="9" spans="1:16" ht="30.75" customHeight="1" x14ac:dyDescent="0.15">
      <c r="B9" s="32">
        <v>1</v>
      </c>
      <c r="C9" s="32">
        <v>1</v>
      </c>
      <c r="D9" s="15">
        <v>0</v>
      </c>
      <c r="E9" s="32">
        <v>1</v>
      </c>
      <c r="F9" s="15">
        <v>0</v>
      </c>
      <c r="G9" s="32">
        <v>1</v>
      </c>
      <c r="H9" s="15">
        <v>0</v>
      </c>
      <c r="I9" s="32">
        <v>1</v>
      </c>
      <c r="J9" s="15">
        <v>0</v>
      </c>
      <c r="K9" s="32">
        <v>1</v>
      </c>
      <c r="N9" s="17" t="s">
        <v>42</v>
      </c>
      <c r="O9" s="17">
        <v>118</v>
      </c>
      <c r="P9" s="17">
        <v>118</v>
      </c>
    </row>
    <row r="10" spans="1:16" ht="30.75" customHeight="1" x14ac:dyDescent="0.15"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32">
        <v>1</v>
      </c>
      <c r="I10" s="15">
        <v>0</v>
      </c>
      <c r="J10" s="32">
        <v>1</v>
      </c>
      <c r="K10" s="15">
        <v>0</v>
      </c>
    </row>
    <row r="11" spans="1:16" ht="30.75" customHeight="1" x14ac:dyDescent="0.15">
      <c r="B11" s="32">
        <v>1</v>
      </c>
      <c r="C11" s="15">
        <v>0</v>
      </c>
      <c r="D11" s="15">
        <v>0</v>
      </c>
      <c r="E11" s="32">
        <v>1</v>
      </c>
      <c r="F11" s="15">
        <v>0</v>
      </c>
      <c r="G11" s="32">
        <v>1</v>
      </c>
      <c r="H11" s="32">
        <v>1</v>
      </c>
      <c r="I11" s="32">
        <v>1</v>
      </c>
      <c r="J11" s="15">
        <v>0</v>
      </c>
      <c r="K11" s="15">
        <v>0</v>
      </c>
    </row>
    <row r="12" spans="1:16" ht="30.75" customHeight="1" x14ac:dyDescent="0.15">
      <c r="B12" s="15">
        <v>0</v>
      </c>
      <c r="C12" s="15">
        <v>0</v>
      </c>
      <c r="D12" s="32">
        <v>1</v>
      </c>
      <c r="E12" s="32">
        <v>1</v>
      </c>
      <c r="F12" s="32">
        <v>1</v>
      </c>
      <c r="G12" s="15">
        <v>0</v>
      </c>
      <c r="H12" s="32">
        <v>1</v>
      </c>
      <c r="I12" s="15">
        <v>0</v>
      </c>
      <c r="J12" s="32">
        <v>1</v>
      </c>
      <c r="K12" s="32">
        <v>1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15">
        <v>0</v>
      </c>
      <c r="C2" s="26">
        <v>1</v>
      </c>
      <c r="D2" s="26">
        <v>1</v>
      </c>
      <c r="E2" s="15">
        <v>0</v>
      </c>
      <c r="F2" s="26">
        <v>1</v>
      </c>
      <c r="G2" s="15">
        <v>0</v>
      </c>
      <c r="H2" s="15">
        <v>0</v>
      </c>
      <c r="I2" s="26">
        <v>1</v>
      </c>
      <c r="J2" s="15">
        <v>0</v>
      </c>
      <c r="K2" s="15">
        <v>0</v>
      </c>
      <c r="N2" s="16" t="s">
        <v>33</v>
      </c>
      <c r="O2" s="36" t="s">
        <v>34</v>
      </c>
      <c r="P2" s="37"/>
    </row>
    <row r="3" spans="1:16" ht="30.75" customHeight="1" x14ac:dyDescent="0.15">
      <c r="B3" s="15">
        <v>0</v>
      </c>
      <c r="C3" s="26">
        <v>1</v>
      </c>
      <c r="D3" s="26">
        <v>1</v>
      </c>
      <c r="E3" s="15">
        <v>0</v>
      </c>
      <c r="F3" s="15">
        <v>0</v>
      </c>
      <c r="G3" s="26">
        <v>1</v>
      </c>
      <c r="H3" s="15">
        <v>0</v>
      </c>
      <c r="I3" s="26">
        <v>1</v>
      </c>
      <c r="J3" s="26">
        <v>1</v>
      </c>
      <c r="K3" s="26">
        <v>1</v>
      </c>
      <c r="N3" s="17" t="s">
        <v>35</v>
      </c>
      <c r="O3" s="17">
        <v>56</v>
      </c>
      <c r="P3" s="17"/>
    </row>
    <row r="4" spans="1:16" ht="30.75" customHeight="1" x14ac:dyDescent="0.15">
      <c r="B4" s="15">
        <v>0</v>
      </c>
      <c r="C4" s="26">
        <v>1</v>
      </c>
      <c r="D4" s="15">
        <v>0</v>
      </c>
      <c r="E4" s="15">
        <v>0</v>
      </c>
      <c r="F4" s="15">
        <v>0</v>
      </c>
      <c r="G4" s="26">
        <v>1</v>
      </c>
      <c r="H4" s="15">
        <v>0</v>
      </c>
      <c r="I4" s="15">
        <v>0</v>
      </c>
      <c r="J4" s="26">
        <v>1</v>
      </c>
      <c r="K4" s="15">
        <v>0</v>
      </c>
      <c r="N4" s="18" t="s">
        <v>59</v>
      </c>
      <c r="O4" s="17">
        <v>0.51</v>
      </c>
      <c r="P4" s="17"/>
    </row>
    <row r="5" spans="1:16" ht="30.75" customHeight="1" x14ac:dyDescent="0.15">
      <c r="B5" s="15">
        <v>0</v>
      </c>
      <c r="C5" s="26">
        <v>1</v>
      </c>
      <c r="D5" s="15">
        <v>0</v>
      </c>
      <c r="E5" s="26">
        <v>1</v>
      </c>
      <c r="F5" s="26">
        <v>1</v>
      </c>
      <c r="G5" s="26">
        <v>1</v>
      </c>
      <c r="H5" s="26">
        <v>1</v>
      </c>
      <c r="I5" s="26">
        <v>1</v>
      </c>
      <c r="J5" s="15">
        <v>0</v>
      </c>
      <c r="K5" s="15">
        <v>0</v>
      </c>
      <c r="N5" s="17"/>
      <c r="O5" s="36" t="s">
        <v>37</v>
      </c>
      <c r="P5" s="37"/>
    </row>
    <row r="6" spans="1:16" ht="30.75" customHeight="1" x14ac:dyDescent="0.15">
      <c r="B6" s="15">
        <v>0</v>
      </c>
      <c r="C6" s="15">
        <v>0</v>
      </c>
      <c r="D6" s="26">
        <v>1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26">
        <v>1</v>
      </c>
      <c r="K6" s="26">
        <v>1</v>
      </c>
      <c r="N6" s="17"/>
      <c r="O6" s="19" t="s">
        <v>38</v>
      </c>
      <c r="P6" s="19" t="s">
        <v>39</v>
      </c>
    </row>
    <row r="7" spans="1:16" ht="30.75" customHeight="1" x14ac:dyDescent="0.15">
      <c r="B7" s="15">
        <v>0</v>
      </c>
      <c r="C7" s="26">
        <v>1</v>
      </c>
      <c r="D7" s="15">
        <v>0</v>
      </c>
      <c r="E7" s="15">
        <v>0</v>
      </c>
      <c r="F7" s="26">
        <v>1</v>
      </c>
      <c r="G7" s="26">
        <v>1</v>
      </c>
      <c r="H7" s="26">
        <v>1</v>
      </c>
      <c r="I7" s="26">
        <v>1</v>
      </c>
      <c r="J7" s="26">
        <v>1</v>
      </c>
      <c r="K7" s="15">
        <v>0</v>
      </c>
      <c r="N7" s="17" t="s">
        <v>40</v>
      </c>
      <c r="O7" s="17">
        <v>12</v>
      </c>
      <c r="P7" s="17">
        <v>2</v>
      </c>
    </row>
    <row r="8" spans="1:16" ht="30.75" customHeight="1" x14ac:dyDescent="0.15">
      <c r="B8" s="15">
        <v>0</v>
      </c>
      <c r="C8" s="26">
        <v>1</v>
      </c>
      <c r="D8" s="26">
        <v>1</v>
      </c>
      <c r="E8" s="26">
        <v>1</v>
      </c>
      <c r="F8" s="26">
        <v>1</v>
      </c>
      <c r="G8" s="26">
        <v>1</v>
      </c>
      <c r="H8" s="15">
        <v>0</v>
      </c>
      <c r="I8" s="15">
        <v>0</v>
      </c>
      <c r="J8" s="15">
        <v>0</v>
      </c>
      <c r="K8" s="15">
        <v>0</v>
      </c>
      <c r="N8" s="17" t="s">
        <v>41</v>
      </c>
      <c r="O8" s="17">
        <v>19</v>
      </c>
      <c r="P8" s="17">
        <v>54</v>
      </c>
    </row>
    <row r="9" spans="1:16" ht="30.75" customHeight="1" x14ac:dyDescent="0.15">
      <c r="B9" s="26">
        <v>1</v>
      </c>
      <c r="C9" s="26">
        <v>1</v>
      </c>
      <c r="D9" s="26">
        <v>1</v>
      </c>
      <c r="E9" s="15">
        <v>0</v>
      </c>
      <c r="F9" s="15">
        <v>0</v>
      </c>
      <c r="G9" s="15">
        <v>0</v>
      </c>
      <c r="H9" s="26">
        <v>1</v>
      </c>
      <c r="I9" s="15">
        <v>0</v>
      </c>
      <c r="J9" s="15">
        <v>0</v>
      </c>
      <c r="K9" s="15">
        <v>0</v>
      </c>
      <c r="N9" s="17" t="s">
        <v>42</v>
      </c>
      <c r="O9" s="17">
        <v>53</v>
      </c>
      <c r="P9" s="17">
        <v>58</v>
      </c>
    </row>
    <row r="10" spans="1:16" ht="30.75" customHeight="1" x14ac:dyDescent="0.15">
      <c r="B10" s="15">
        <v>0</v>
      </c>
      <c r="C10" s="15">
        <v>0</v>
      </c>
      <c r="D10" s="26">
        <v>1</v>
      </c>
      <c r="E10" s="15">
        <v>0</v>
      </c>
      <c r="F10" s="26">
        <v>1</v>
      </c>
      <c r="G10" s="15">
        <v>0</v>
      </c>
      <c r="H10" s="15">
        <v>0</v>
      </c>
      <c r="I10" s="26">
        <v>1</v>
      </c>
      <c r="J10" s="26">
        <v>1</v>
      </c>
      <c r="K10" s="15">
        <v>0</v>
      </c>
    </row>
    <row r="11" spans="1:16" ht="30.75" customHeight="1" x14ac:dyDescent="0.15">
      <c r="B11" s="26">
        <v>1</v>
      </c>
      <c r="C11" s="15">
        <v>0</v>
      </c>
      <c r="D11" s="26">
        <v>1</v>
      </c>
      <c r="E11" s="26">
        <v>1</v>
      </c>
      <c r="F11" s="26">
        <v>1</v>
      </c>
      <c r="G11" s="15">
        <v>0</v>
      </c>
      <c r="H11" s="26">
        <v>1</v>
      </c>
      <c r="I11" s="15">
        <v>0</v>
      </c>
      <c r="J11" s="26">
        <v>1</v>
      </c>
      <c r="K11" s="26">
        <v>1</v>
      </c>
    </row>
    <row r="12" spans="1:16" ht="30.75" customHeight="1" x14ac:dyDescent="0.15">
      <c r="B12" s="15">
        <v>0</v>
      </c>
      <c r="C12" s="15">
        <v>0</v>
      </c>
      <c r="D12" s="26">
        <v>1</v>
      </c>
      <c r="E12" s="15">
        <v>0</v>
      </c>
      <c r="F12" s="15">
        <v>0</v>
      </c>
      <c r="G12" s="26">
        <v>1</v>
      </c>
      <c r="H12" s="15">
        <v>0</v>
      </c>
      <c r="I12" s="15">
        <v>0</v>
      </c>
      <c r="J12" s="26">
        <v>1</v>
      </c>
      <c r="K12" s="26">
        <v>1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15">
        <v>0</v>
      </c>
      <c r="C2" s="15">
        <v>0</v>
      </c>
      <c r="D2" s="33">
        <v>1</v>
      </c>
      <c r="E2" s="15">
        <v>0</v>
      </c>
      <c r="F2" s="15">
        <v>0</v>
      </c>
      <c r="G2" s="33">
        <v>1</v>
      </c>
      <c r="H2" s="33">
        <v>1</v>
      </c>
      <c r="I2" s="15">
        <v>0</v>
      </c>
      <c r="J2" s="15">
        <v>0</v>
      </c>
      <c r="K2" s="33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15">
        <v>0</v>
      </c>
      <c r="C3" s="33">
        <v>1</v>
      </c>
      <c r="D3" s="15">
        <v>0</v>
      </c>
      <c r="E3" s="33">
        <v>1</v>
      </c>
      <c r="F3" s="15">
        <v>0</v>
      </c>
      <c r="G3" s="33">
        <v>1</v>
      </c>
      <c r="H3" s="33">
        <v>1</v>
      </c>
      <c r="I3" s="33">
        <v>1</v>
      </c>
      <c r="J3" s="15">
        <v>0</v>
      </c>
      <c r="K3" s="15">
        <v>0</v>
      </c>
      <c r="N3" s="17" t="s">
        <v>35</v>
      </c>
      <c r="O3" s="17">
        <f>SUM(B2:K12)</f>
        <v>60</v>
      </c>
      <c r="P3" s="17"/>
    </row>
    <row r="4" spans="1:16" ht="30.75" customHeight="1" x14ac:dyDescent="0.15">
      <c r="B4" s="15">
        <v>0</v>
      </c>
      <c r="C4" s="15">
        <v>0</v>
      </c>
      <c r="D4" s="33">
        <v>1</v>
      </c>
      <c r="E4" s="15">
        <v>0</v>
      </c>
      <c r="F4" s="15">
        <v>0</v>
      </c>
      <c r="G4" s="15">
        <v>0</v>
      </c>
      <c r="H4" s="15">
        <v>0</v>
      </c>
      <c r="I4" s="33">
        <v>1</v>
      </c>
      <c r="J4" s="33">
        <v>1</v>
      </c>
      <c r="K4" s="15">
        <v>0</v>
      </c>
      <c r="N4" s="18" t="s">
        <v>60</v>
      </c>
      <c r="O4" s="17">
        <v>0.54</v>
      </c>
      <c r="P4" s="17"/>
    </row>
    <row r="5" spans="1:16" ht="30.75" customHeight="1" x14ac:dyDescent="0.15">
      <c r="B5" s="33">
        <v>1</v>
      </c>
      <c r="C5" s="15">
        <v>0</v>
      </c>
      <c r="D5" s="15">
        <v>0</v>
      </c>
      <c r="E5" s="33">
        <v>1</v>
      </c>
      <c r="F5" s="33">
        <v>1</v>
      </c>
      <c r="G5" s="15">
        <v>0</v>
      </c>
      <c r="H5" s="15">
        <v>0</v>
      </c>
      <c r="I5" s="33">
        <v>1</v>
      </c>
      <c r="J5" s="15">
        <v>0</v>
      </c>
      <c r="K5" s="33">
        <v>1</v>
      </c>
      <c r="N5" s="17"/>
      <c r="O5" s="36" t="s">
        <v>37</v>
      </c>
      <c r="P5" s="37"/>
    </row>
    <row r="6" spans="1:16" ht="30.75" customHeight="1" x14ac:dyDescent="0.15">
      <c r="B6" s="33">
        <v>1</v>
      </c>
      <c r="C6" s="15">
        <v>0</v>
      </c>
      <c r="D6" s="15">
        <v>0</v>
      </c>
      <c r="E6" s="33">
        <v>1</v>
      </c>
      <c r="F6" s="15">
        <v>0</v>
      </c>
      <c r="G6" s="33">
        <v>1</v>
      </c>
      <c r="H6" s="33">
        <v>1</v>
      </c>
      <c r="I6" s="15">
        <v>0</v>
      </c>
      <c r="J6" s="33">
        <v>1</v>
      </c>
      <c r="K6" s="33">
        <v>1</v>
      </c>
      <c r="N6" s="17"/>
      <c r="O6" s="19" t="s">
        <v>38</v>
      </c>
      <c r="P6" s="19" t="s">
        <v>39</v>
      </c>
    </row>
    <row r="7" spans="1:16" ht="30.75" customHeight="1" x14ac:dyDescent="0.15">
      <c r="B7" s="33">
        <v>1</v>
      </c>
      <c r="C7" s="15">
        <v>0</v>
      </c>
      <c r="D7" s="33">
        <v>1</v>
      </c>
      <c r="E7" s="15">
        <v>0</v>
      </c>
      <c r="F7" s="33">
        <v>1</v>
      </c>
      <c r="G7" s="33">
        <v>1</v>
      </c>
      <c r="H7" s="33">
        <v>1</v>
      </c>
      <c r="I7" s="15">
        <v>0</v>
      </c>
      <c r="J7" s="33">
        <v>1</v>
      </c>
      <c r="K7" s="33">
        <v>1</v>
      </c>
      <c r="N7" s="17" t="s">
        <v>40</v>
      </c>
      <c r="O7" s="17">
        <v>10</v>
      </c>
      <c r="P7" s="17">
        <v>3</v>
      </c>
    </row>
    <row r="8" spans="1:16" ht="30.75" customHeight="1" x14ac:dyDescent="0.15">
      <c r="B8" s="15">
        <v>0</v>
      </c>
      <c r="C8" s="15">
        <v>0</v>
      </c>
      <c r="D8" s="33">
        <v>1</v>
      </c>
      <c r="E8" s="33">
        <v>1</v>
      </c>
      <c r="F8" s="33">
        <v>1</v>
      </c>
      <c r="G8" s="33">
        <v>1</v>
      </c>
      <c r="H8" s="15">
        <v>0</v>
      </c>
      <c r="I8" s="15">
        <v>0</v>
      </c>
      <c r="J8" s="33">
        <v>1</v>
      </c>
      <c r="K8" s="15">
        <v>0</v>
      </c>
      <c r="N8" s="17" t="s">
        <v>41</v>
      </c>
      <c r="O8" s="17">
        <f>SUM(G6,H6,D7,F7,G7,H7,D8,E8,F8,G8,E9,F9,G9,E10,D11,E11,E12,F11,G12,G11,H12,I12,J12,I11,I10,I9,J9,J10,K10,K9,J8,J7,K7,K6,J6,K5)</f>
        <v>36</v>
      </c>
      <c r="P8" s="17">
        <f>SUM(G2,H2,G3,H3,I3,I4,I5,J4,K5,K6,K7,J6,J7,J8,J9,K9,I9,I10,J10,K10,I11,J12,I12,H12,G12,G11,F11,E11,E12,D11,E10,E9,E8,D8,D7,E6,E5,F5,C3,D2,E3,D4,G6,H6,H7,G7,G8,G9,F9,F8,F7,B12,B11,B10,B9,C10)</f>
        <v>56</v>
      </c>
    </row>
    <row r="9" spans="1:16" ht="30.75" customHeight="1" x14ac:dyDescent="0.15">
      <c r="B9" s="33">
        <v>1</v>
      </c>
      <c r="C9" s="15">
        <v>0</v>
      </c>
      <c r="D9" s="15">
        <v>0</v>
      </c>
      <c r="E9" s="33">
        <v>1</v>
      </c>
      <c r="F9" s="33">
        <v>1</v>
      </c>
      <c r="G9" s="33">
        <v>1</v>
      </c>
      <c r="H9" s="15">
        <v>0</v>
      </c>
      <c r="I9" s="33">
        <v>1</v>
      </c>
      <c r="J9" s="33">
        <v>1</v>
      </c>
      <c r="K9" s="33">
        <v>1</v>
      </c>
      <c r="N9" s="17" t="s">
        <v>42</v>
      </c>
      <c r="O9" s="17">
        <v>103</v>
      </c>
      <c r="P9" s="17">
        <v>103</v>
      </c>
    </row>
    <row r="10" spans="1:16" ht="30.75" customHeight="1" x14ac:dyDescent="0.15">
      <c r="B10" s="33">
        <v>1</v>
      </c>
      <c r="C10" s="33">
        <v>1</v>
      </c>
      <c r="D10" s="15">
        <v>0</v>
      </c>
      <c r="E10" s="33">
        <v>1</v>
      </c>
      <c r="F10" s="15">
        <v>0</v>
      </c>
      <c r="G10" s="15">
        <v>0</v>
      </c>
      <c r="H10" s="15">
        <v>0</v>
      </c>
      <c r="I10" s="33">
        <v>1</v>
      </c>
      <c r="J10" s="33">
        <v>1</v>
      </c>
      <c r="K10" s="33">
        <v>1</v>
      </c>
    </row>
    <row r="11" spans="1:16" ht="30.75" customHeight="1" x14ac:dyDescent="0.15">
      <c r="B11" s="33">
        <v>1</v>
      </c>
      <c r="C11" s="15">
        <v>0</v>
      </c>
      <c r="D11" s="33">
        <v>1</v>
      </c>
      <c r="E11" s="33">
        <v>1</v>
      </c>
      <c r="F11" s="33">
        <v>1</v>
      </c>
      <c r="G11" s="33">
        <v>1</v>
      </c>
      <c r="H11" s="15">
        <v>0</v>
      </c>
      <c r="I11" s="33">
        <v>1</v>
      </c>
      <c r="J11" s="15">
        <v>0</v>
      </c>
      <c r="K11" s="15">
        <v>0</v>
      </c>
    </row>
    <row r="12" spans="1:16" ht="30.75" customHeight="1" x14ac:dyDescent="0.15">
      <c r="B12" s="33">
        <v>1</v>
      </c>
      <c r="C12" s="15">
        <v>0</v>
      </c>
      <c r="D12" s="15">
        <v>0</v>
      </c>
      <c r="E12" s="33">
        <v>1</v>
      </c>
      <c r="F12" s="15">
        <v>0</v>
      </c>
      <c r="G12" s="33">
        <v>1</v>
      </c>
      <c r="H12" s="33">
        <v>1</v>
      </c>
      <c r="I12" s="33">
        <v>1</v>
      </c>
      <c r="J12" s="33">
        <v>1</v>
      </c>
      <c r="K12" s="15">
        <v>0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34">
        <v>1</v>
      </c>
      <c r="C2" s="34">
        <v>1</v>
      </c>
      <c r="D2" s="15">
        <v>0</v>
      </c>
      <c r="E2" s="15">
        <v>0</v>
      </c>
      <c r="F2" s="34">
        <v>1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N2" s="16" t="s">
        <v>33</v>
      </c>
      <c r="O2" s="36" t="s">
        <v>34</v>
      </c>
      <c r="P2" s="37"/>
    </row>
    <row r="3" spans="1:16" ht="30.75" customHeight="1" x14ac:dyDescent="0.15">
      <c r="B3" s="15">
        <v>0</v>
      </c>
      <c r="C3" s="15">
        <v>0</v>
      </c>
      <c r="D3" s="15">
        <v>0</v>
      </c>
      <c r="E3" s="34">
        <v>1</v>
      </c>
      <c r="F3" s="15">
        <v>0</v>
      </c>
      <c r="G3" s="15">
        <v>0</v>
      </c>
      <c r="H3" s="34">
        <v>1</v>
      </c>
      <c r="I3" s="15">
        <v>0</v>
      </c>
      <c r="J3" s="15">
        <v>0</v>
      </c>
      <c r="K3" s="15">
        <v>0</v>
      </c>
      <c r="N3" s="17" t="s">
        <v>35</v>
      </c>
      <c r="O3" s="17">
        <v>46</v>
      </c>
      <c r="P3" s="17">
        <v>46</v>
      </c>
    </row>
    <row r="4" spans="1:16" ht="30.75" customHeight="1" x14ac:dyDescent="0.15">
      <c r="B4" s="34">
        <v>1</v>
      </c>
      <c r="C4" s="15">
        <v>0</v>
      </c>
      <c r="D4" s="15">
        <v>0</v>
      </c>
      <c r="E4" s="34">
        <v>1</v>
      </c>
      <c r="F4" s="15">
        <v>0</v>
      </c>
      <c r="G4" s="15">
        <v>0</v>
      </c>
      <c r="H4" s="34">
        <v>1</v>
      </c>
      <c r="I4" s="15">
        <v>0</v>
      </c>
      <c r="J4" s="15">
        <v>0</v>
      </c>
      <c r="K4" s="15">
        <v>0</v>
      </c>
      <c r="N4" s="18" t="s">
        <v>61</v>
      </c>
      <c r="O4" s="17">
        <f t="shared" ref="O4:P4" si="0">O3/110</f>
        <v>0.41818181818181815</v>
      </c>
      <c r="P4" s="17">
        <f t="shared" si="0"/>
        <v>0.41818181818181815</v>
      </c>
    </row>
    <row r="5" spans="1:16" ht="30.75" customHeight="1" x14ac:dyDescent="0.15">
      <c r="B5" s="34">
        <v>1</v>
      </c>
      <c r="C5" s="15">
        <v>0</v>
      </c>
      <c r="D5" s="34">
        <v>1</v>
      </c>
      <c r="E5" s="34">
        <v>1</v>
      </c>
      <c r="F5" s="15">
        <v>0</v>
      </c>
      <c r="G5" s="15">
        <v>0</v>
      </c>
      <c r="H5" s="15">
        <v>0</v>
      </c>
      <c r="I5" s="34">
        <v>1</v>
      </c>
      <c r="J5" s="15">
        <v>0</v>
      </c>
      <c r="K5" s="34">
        <v>1</v>
      </c>
      <c r="N5" s="17"/>
      <c r="O5" s="36" t="s">
        <v>37</v>
      </c>
      <c r="P5" s="37"/>
    </row>
    <row r="6" spans="1:16" ht="30.75" customHeight="1" x14ac:dyDescent="0.15">
      <c r="B6" s="15">
        <v>0</v>
      </c>
      <c r="C6" s="34">
        <v>1</v>
      </c>
      <c r="D6" s="34">
        <v>1</v>
      </c>
      <c r="E6" s="15">
        <v>0</v>
      </c>
      <c r="F6" s="15">
        <v>0</v>
      </c>
      <c r="G6" s="34">
        <v>1</v>
      </c>
      <c r="H6" s="15">
        <v>0</v>
      </c>
      <c r="I6" s="15">
        <v>0</v>
      </c>
      <c r="J6" s="15">
        <v>0</v>
      </c>
      <c r="K6" s="15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15">
        <v>0</v>
      </c>
      <c r="I7" s="15">
        <v>0</v>
      </c>
      <c r="J7" s="34">
        <v>1</v>
      </c>
      <c r="K7" s="34">
        <v>1</v>
      </c>
      <c r="N7" s="17" t="s">
        <v>40</v>
      </c>
      <c r="O7" s="17">
        <v>11</v>
      </c>
      <c r="P7" s="17">
        <v>6</v>
      </c>
    </row>
    <row r="8" spans="1:16" ht="30.75" customHeight="1" x14ac:dyDescent="0.15">
      <c r="B8" s="15">
        <v>0</v>
      </c>
      <c r="C8" s="15">
        <v>0</v>
      </c>
      <c r="D8" s="34">
        <v>1</v>
      </c>
      <c r="E8" s="15">
        <v>0</v>
      </c>
      <c r="F8" s="34">
        <v>1</v>
      </c>
      <c r="G8" s="34">
        <v>1</v>
      </c>
      <c r="H8" s="34">
        <v>1</v>
      </c>
      <c r="I8" s="34">
        <v>1</v>
      </c>
      <c r="J8" s="15">
        <v>0</v>
      </c>
      <c r="K8" s="34">
        <v>1</v>
      </c>
      <c r="N8" s="17" t="s">
        <v>41</v>
      </c>
      <c r="O8" s="17">
        <v>20</v>
      </c>
      <c r="P8" s="17">
        <v>37</v>
      </c>
    </row>
    <row r="9" spans="1:16" ht="30.75" customHeight="1" x14ac:dyDescent="0.15">
      <c r="B9" s="15">
        <v>0</v>
      </c>
      <c r="C9" s="15">
        <v>0</v>
      </c>
      <c r="D9" s="34">
        <v>1</v>
      </c>
      <c r="E9" s="15">
        <v>0</v>
      </c>
      <c r="F9" s="34">
        <v>1</v>
      </c>
      <c r="G9" s="15">
        <v>0</v>
      </c>
      <c r="H9" s="15">
        <v>0</v>
      </c>
      <c r="I9" s="15">
        <v>0</v>
      </c>
      <c r="J9" s="15">
        <v>0</v>
      </c>
      <c r="K9" s="34">
        <v>1</v>
      </c>
      <c r="N9" s="17" t="s">
        <v>42</v>
      </c>
      <c r="O9" s="17">
        <v>88</v>
      </c>
      <c r="P9" s="17">
        <v>88</v>
      </c>
    </row>
    <row r="10" spans="1:16" ht="30.75" customHeight="1" x14ac:dyDescent="0.15">
      <c r="B10" s="34">
        <v>1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34">
        <v>1</v>
      </c>
      <c r="I10" s="15">
        <v>0</v>
      </c>
      <c r="J10" s="34">
        <v>1</v>
      </c>
      <c r="K10" s="34">
        <v>1</v>
      </c>
    </row>
    <row r="11" spans="1:16" ht="30.75" customHeight="1" x14ac:dyDescent="0.15">
      <c r="B11" s="15">
        <v>0</v>
      </c>
      <c r="C11" s="15">
        <v>0</v>
      </c>
      <c r="D11" s="34">
        <v>1</v>
      </c>
      <c r="E11" s="34">
        <v>1</v>
      </c>
      <c r="F11" s="34">
        <v>1</v>
      </c>
      <c r="G11" s="15">
        <v>0</v>
      </c>
      <c r="H11" s="15">
        <v>0</v>
      </c>
      <c r="I11" s="15">
        <v>0</v>
      </c>
      <c r="J11" s="34">
        <v>1</v>
      </c>
      <c r="K11" s="34">
        <v>1</v>
      </c>
    </row>
    <row r="12" spans="1:16" ht="30.75" customHeight="1" x14ac:dyDescent="0.15"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34">
        <v>1</v>
      </c>
      <c r="H12" s="34">
        <v>1</v>
      </c>
      <c r="I12" s="34">
        <v>1</v>
      </c>
      <c r="J12" s="34">
        <v>1</v>
      </c>
      <c r="K12" s="15">
        <v>0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B1:K13"/>
  <sheetViews>
    <sheetView workbookViewId="0"/>
  </sheetViews>
  <sheetFormatPr baseColWidth="10" defaultColWidth="12.6640625" defaultRowHeight="15.75" customHeight="1" x14ac:dyDescent="0.15"/>
  <cols>
    <col min="1" max="10" width="6.6640625" customWidth="1"/>
    <col min="11" max="11" width="6.1640625" customWidth="1"/>
    <col min="12" max="13" width="6.6640625" customWidth="1"/>
  </cols>
  <sheetData>
    <row r="1" spans="2:11" ht="30" customHeight="1" x14ac:dyDescent="0.15"/>
    <row r="2" spans="2:11" ht="30" customHeight="1" x14ac:dyDescent="0.15"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2:11" ht="30" customHeight="1" x14ac:dyDescent="0.15"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2:11" ht="30" customHeight="1" x14ac:dyDescent="0.15"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2:11" ht="30" customHeight="1" x14ac:dyDescent="0.15"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2:11" ht="30" customHeight="1" x14ac:dyDescent="0.15"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2:11" ht="30" customHeight="1" x14ac:dyDescent="0.15"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2:11" ht="30" customHeight="1" x14ac:dyDescent="0.15"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2:11" ht="30" customHeight="1" x14ac:dyDescent="0.1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2:11" ht="30" customHeight="1" x14ac:dyDescent="0.15"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2:11" ht="30" customHeight="1" x14ac:dyDescent="0.15"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2:11" ht="30" customHeight="1" x14ac:dyDescent="0.15"/>
    <row r="13" spans="2:11" ht="30" customHeight="1" x14ac:dyDescent="0.1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15">
        <v>0</v>
      </c>
      <c r="C2" s="15">
        <v>1</v>
      </c>
      <c r="D2" s="15">
        <v>1</v>
      </c>
      <c r="E2" s="15">
        <v>1</v>
      </c>
      <c r="F2" s="15">
        <v>1</v>
      </c>
      <c r="G2" s="15">
        <v>0</v>
      </c>
      <c r="H2" s="15">
        <v>1</v>
      </c>
      <c r="I2" s="15">
        <v>0</v>
      </c>
      <c r="J2" s="15">
        <v>0</v>
      </c>
      <c r="K2" s="15">
        <v>0</v>
      </c>
      <c r="N2" s="16" t="s">
        <v>33</v>
      </c>
      <c r="O2" s="36" t="s">
        <v>34</v>
      </c>
      <c r="P2" s="37"/>
    </row>
    <row r="3" spans="1:16" ht="30.75" customHeight="1" x14ac:dyDescent="0.15">
      <c r="B3" s="15">
        <v>0</v>
      </c>
      <c r="C3" s="15">
        <v>0</v>
      </c>
      <c r="D3" s="15">
        <v>0</v>
      </c>
      <c r="E3" s="15">
        <v>1</v>
      </c>
      <c r="F3" s="15">
        <v>1</v>
      </c>
      <c r="G3" s="15">
        <v>1</v>
      </c>
      <c r="H3" s="15">
        <v>0</v>
      </c>
      <c r="I3" s="15">
        <v>1</v>
      </c>
      <c r="J3" s="15">
        <v>0</v>
      </c>
      <c r="K3" s="15">
        <v>1</v>
      </c>
      <c r="N3" s="17" t="s">
        <v>35</v>
      </c>
      <c r="O3" s="17">
        <v>59</v>
      </c>
      <c r="P3" s="17"/>
    </row>
    <row r="4" spans="1:16" ht="30.75" customHeight="1" x14ac:dyDescent="0.15">
      <c r="B4" s="15">
        <v>1</v>
      </c>
      <c r="C4" s="15">
        <v>1</v>
      </c>
      <c r="D4" s="15">
        <v>1</v>
      </c>
      <c r="E4" s="15">
        <v>1</v>
      </c>
      <c r="F4" s="15">
        <v>0</v>
      </c>
      <c r="G4" s="15">
        <v>1</v>
      </c>
      <c r="H4" s="15">
        <v>1</v>
      </c>
      <c r="I4" s="15">
        <v>0</v>
      </c>
      <c r="J4" s="15">
        <v>0</v>
      </c>
      <c r="K4" s="15">
        <v>1</v>
      </c>
      <c r="N4" s="18" t="s">
        <v>62</v>
      </c>
      <c r="O4" s="17">
        <v>0.56999999999999995</v>
      </c>
      <c r="P4" s="17"/>
    </row>
    <row r="5" spans="1:16" ht="30.75" customHeight="1" x14ac:dyDescent="0.15">
      <c r="B5" s="15">
        <v>0</v>
      </c>
      <c r="C5" s="15">
        <v>1</v>
      </c>
      <c r="D5" s="15">
        <v>1</v>
      </c>
      <c r="E5" s="15">
        <v>1</v>
      </c>
      <c r="F5" s="15">
        <v>0</v>
      </c>
      <c r="G5" s="15">
        <v>1</v>
      </c>
      <c r="H5" s="15">
        <v>1</v>
      </c>
      <c r="I5" s="15">
        <v>1</v>
      </c>
      <c r="J5" s="15">
        <v>0</v>
      </c>
      <c r="K5" s="15">
        <v>1</v>
      </c>
      <c r="N5" s="17"/>
      <c r="O5" s="36" t="s">
        <v>37</v>
      </c>
      <c r="P5" s="37"/>
    </row>
    <row r="6" spans="1:16" ht="30.75" customHeight="1" x14ac:dyDescent="0.15">
      <c r="B6" s="15">
        <v>1</v>
      </c>
      <c r="C6" s="15">
        <v>0</v>
      </c>
      <c r="D6" s="15">
        <v>0</v>
      </c>
      <c r="E6" s="15">
        <v>0</v>
      </c>
      <c r="F6" s="15">
        <v>1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15">
        <v>1</v>
      </c>
      <c r="C7" s="15">
        <v>0</v>
      </c>
      <c r="D7" s="15">
        <v>1</v>
      </c>
      <c r="E7" s="15">
        <v>0</v>
      </c>
      <c r="F7" s="15">
        <v>0</v>
      </c>
      <c r="G7" s="15">
        <v>1</v>
      </c>
      <c r="H7" s="15">
        <v>1</v>
      </c>
      <c r="I7" s="15">
        <v>0</v>
      </c>
      <c r="J7" s="15">
        <v>1</v>
      </c>
      <c r="K7" s="15">
        <v>0</v>
      </c>
      <c r="N7" s="17" t="s">
        <v>40</v>
      </c>
      <c r="O7" s="17">
        <v>12</v>
      </c>
      <c r="P7" s="17">
        <v>2</v>
      </c>
    </row>
    <row r="8" spans="1:16" ht="30.75" customHeight="1" x14ac:dyDescent="0.15">
      <c r="B8" s="15">
        <v>0</v>
      </c>
      <c r="C8" s="15">
        <v>0</v>
      </c>
      <c r="D8" s="15">
        <v>1</v>
      </c>
      <c r="E8" s="15">
        <v>1</v>
      </c>
      <c r="F8" s="15">
        <v>1</v>
      </c>
      <c r="G8" s="15">
        <v>0</v>
      </c>
      <c r="H8" s="15">
        <v>0</v>
      </c>
      <c r="I8" s="15">
        <v>1</v>
      </c>
      <c r="J8" s="15">
        <v>1</v>
      </c>
      <c r="K8" s="15">
        <v>0</v>
      </c>
      <c r="N8" s="17" t="s">
        <v>41</v>
      </c>
      <c r="O8" s="17">
        <v>19</v>
      </c>
      <c r="P8" s="17">
        <v>56</v>
      </c>
    </row>
    <row r="9" spans="1:16" ht="30.75" customHeight="1" x14ac:dyDescent="0.15">
      <c r="B9" s="15">
        <v>0</v>
      </c>
      <c r="C9" s="15">
        <v>0</v>
      </c>
      <c r="D9" s="15">
        <v>1</v>
      </c>
      <c r="E9" s="15">
        <v>1</v>
      </c>
      <c r="F9" s="15">
        <v>0</v>
      </c>
      <c r="G9" s="15">
        <v>1</v>
      </c>
      <c r="H9" s="15">
        <v>0</v>
      </c>
      <c r="I9" s="15">
        <v>1</v>
      </c>
      <c r="J9" s="15">
        <v>1</v>
      </c>
      <c r="K9" s="15">
        <v>1</v>
      </c>
      <c r="N9" s="17" t="s">
        <v>42</v>
      </c>
      <c r="O9" s="17">
        <v>103</v>
      </c>
      <c r="P9" s="17">
        <v>103</v>
      </c>
    </row>
    <row r="10" spans="1:16" ht="30.75" customHeight="1" x14ac:dyDescent="0.15">
      <c r="B10" s="15">
        <v>1</v>
      </c>
      <c r="C10" s="15">
        <v>1</v>
      </c>
      <c r="D10" s="15">
        <v>1</v>
      </c>
      <c r="E10" s="15">
        <v>0</v>
      </c>
      <c r="F10" s="15">
        <v>0</v>
      </c>
      <c r="G10" s="15">
        <v>0</v>
      </c>
      <c r="H10" s="15">
        <v>1</v>
      </c>
      <c r="I10" s="15">
        <v>0</v>
      </c>
      <c r="J10" s="15">
        <v>1</v>
      </c>
      <c r="K10" s="15">
        <v>0</v>
      </c>
    </row>
    <row r="11" spans="1:16" ht="30.75" customHeight="1" x14ac:dyDescent="0.15">
      <c r="B11" s="15">
        <v>1</v>
      </c>
      <c r="C11" s="15">
        <v>1</v>
      </c>
      <c r="D11" s="15">
        <v>1</v>
      </c>
      <c r="E11" s="15">
        <v>1</v>
      </c>
      <c r="F11" s="15">
        <v>0</v>
      </c>
      <c r="G11" s="15">
        <v>0</v>
      </c>
      <c r="H11" s="15">
        <v>1</v>
      </c>
      <c r="I11" s="15">
        <v>1</v>
      </c>
      <c r="J11" s="15">
        <v>0</v>
      </c>
      <c r="K11" s="15">
        <v>0</v>
      </c>
    </row>
    <row r="12" spans="1:16" ht="30.75" customHeight="1" x14ac:dyDescent="0.15">
      <c r="B12" s="15">
        <v>1</v>
      </c>
      <c r="C12" s="15">
        <v>1</v>
      </c>
      <c r="D12" s="15">
        <v>0</v>
      </c>
      <c r="E12" s="15">
        <v>1</v>
      </c>
      <c r="F12" s="15">
        <v>0</v>
      </c>
      <c r="G12" s="15">
        <v>1</v>
      </c>
      <c r="H12" s="15">
        <v>0</v>
      </c>
      <c r="I12" s="15">
        <v>1</v>
      </c>
      <c r="J12" s="15">
        <v>1</v>
      </c>
      <c r="K12" s="15">
        <v>0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conditionalFormatting sqref="A2:K12">
    <cfRule type="containsText" dxfId="0" priority="1" operator="containsText" text="1">
      <formula>NOT(ISERROR(SEARCH(("1"),(A2))))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P16"/>
  <sheetViews>
    <sheetView workbookViewId="0"/>
  </sheetViews>
  <sheetFormatPr baseColWidth="10" defaultColWidth="12.6640625" defaultRowHeight="15.75" customHeight="1" x14ac:dyDescent="0.15"/>
  <cols>
    <col min="1" max="11" width="6.6640625" customWidth="1"/>
    <col min="12" max="12" width="5.1640625" customWidth="1"/>
    <col min="13" max="13" width="4.5" customWidth="1"/>
    <col min="14" max="14" width="23.1640625" customWidth="1"/>
    <col min="15" max="15" width="20" customWidth="1"/>
    <col min="16" max="16" width="19.6640625" customWidth="1"/>
  </cols>
  <sheetData>
    <row r="1" spans="1:16" ht="30.75" customHeight="1" x14ac:dyDescent="0.15">
      <c r="A1" s="4" t="s">
        <v>12</v>
      </c>
      <c r="N1" s="14" t="s">
        <v>32</v>
      </c>
    </row>
    <row r="2" spans="1:16" ht="30.75" customHeight="1" x14ac:dyDescent="0.15">
      <c r="B2" s="35">
        <v>1</v>
      </c>
      <c r="C2" s="35">
        <v>1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35">
        <v>1</v>
      </c>
      <c r="K2" s="35">
        <v>1</v>
      </c>
      <c r="N2" s="16" t="s">
        <v>33</v>
      </c>
      <c r="O2" s="36" t="s">
        <v>34</v>
      </c>
      <c r="P2" s="37"/>
    </row>
    <row r="3" spans="1:16" ht="30.75" customHeight="1" x14ac:dyDescent="0.15">
      <c r="B3" s="35">
        <v>1</v>
      </c>
      <c r="C3" s="15">
        <v>0</v>
      </c>
      <c r="D3" s="35">
        <v>1</v>
      </c>
      <c r="E3" s="35">
        <v>1</v>
      </c>
      <c r="F3" s="15">
        <v>0</v>
      </c>
      <c r="G3" s="35">
        <v>1</v>
      </c>
      <c r="H3" s="15">
        <v>0</v>
      </c>
      <c r="I3" s="15">
        <v>0</v>
      </c>
      <c r="J3" s="35">
        <v>1</v>
      </c>
      <c r="K3" s="35">
        <v>1</v>
      </c>
      <c r="N3" s="17" t="s">
        <v>35</v>
      </c>
      <c r="O3" s="17">
        <v>56</v>
      </c>
      <c r="P3" s="17">
        <v>56</v>
      </c>
    </row>
    <row r="4" spans="1:16" ht="30.75" customHeight="1" x14ac:dyDescent="0.15">
      <c r="B4" s="35">
        <v>1</v>
      </c>
      <c r="C4" s="15">
        <v>0</v>
      </c>
      <c r="D4" s="35">
        <v>1</v>
      </c>
      <c r="E4" s="15">
        <v>0</v>
      </c>
      <c r="F4" s="15">
        <v>0</v>
      </c>
      <c r="G4" s="35">
        <v>1</v>
      </c>
      <c r="H4" s="35">
        <v>1</v>
      </c>
      <c r="I4" s="35">
        <v>1</v>
      </c>
      <c r="J4" s="15">
        <v>0</v>
      </c>
      <c r="K4" s="35">
        <v>1</v>
      </c>
      <c r="N4" s="18" t="s">
        <v>63</v>
      </c>
      <c r="O4" s="17">
        <v>0.50900000000000001</v>
      </c>
      <c r="P4" s="17">
        <v>0.50900000000000001</v>
      </c>
    </row>
    <row r="5" spans="1:16" ht="30.75" customHeight="1" x14ac:dyDescent="0.15">
      <c r="B5" s="15">
        <v>0</v>
      </c>
      <c r="C5" s="35">
        <v>1</v>
      </c>
      <c r="D5" s="35">
        <v>1</v>
      </c>
      <c r="E5" s="35">
        <v>1</v>
      </c>
      <c r="F5" s="15">
        <v>0</v>
      </c>
      <c r="G5" s="35">
        <v>1</v>
      </c>
      <c r="H5" s="15">
        <v>0</v>
      </c>
      <c r="I5" s="15">
        <v>0</v>
      </c>
      <c r="J5" s="15">
        <v>0</v>
      </c>
      <c r="K5" s="35">
        <v>1</v>
      </c>
      <c r="N5" s="17"/>
      <c r="O5" s="36" t="s">
        <v>37</v>
      </c>
      <c r="P5" s="37"/>
    </row>
    <row r="6" spans="1:16" ht="30.75" customHeight="1" x14ac:dyDescent="0.15">
      <c r="B6" s="15">
        <v>0</v>
      </c>
      <c r="C6" s="15">
        <v>0</v>
      </c>
      <c r="D6" s="15">
        <v>0</v>
      </c>
      <c r="E6" s="35">
        <v>1</v>
      </c>
      <c r="F6" s="15">
        <v>0</v>
      </c>
      <c r="G6" s="15">
        <v>0</v>
      </c>
      <c r="H6" s="35">
        <v>1</v>
      </c>
      <c r="I6" s="35">
        <v>1</v>
      </c>
      <c r="J6" s="15">
        <v>0</v>
      </c>
      <c r="K6" s="15">
        <v>0</v>
      </c>
      <c r="N6" s="17"/>
      <c r="O6" s="19" t="s">
        <v>38</v>
      </c>
      <c r="P6" s="19" t="s">
        <v>39</v>
      </c>
    </row>
    <row r="7" spans="1:16" ht="30.75" customHeight="1" x14ac:dyDescent="0.15">
      <c r="B7" s="15">
        <v>0</v>
      </c>
      <c r="C7" s="15">
        <v>0</v>
      </c>
      <c r="D7" s="15">
        <v>0</v>
      </c>
      <c r="E7" s="15">
        <v>0</v>
      </c>
      <c r="F7" s="35">
        <v>1</v>
      </c>
      <c r="G7" s="15">
        <v>0</v>
      </c>
      <c r="H7" s="15">
        <v>0</v>
      </c>
      <c r="I7" s="35">
        <v>1</v>
      </c>
      <c r="J7" s="35">
        <v>1</v>
      </c>
      <c r="K7" s="15">
        <v>0</v>
      </c>
      <c r="N7" s="17" t="s">
        <v>40</v>
      </c>
      <c r="O7" s="17">
        <v>10</v>
      </c>
      <c r="P7" s="17">
        <v>2</v>
      </c>
    </row>
    <row r="8" spans="1:16" ht="30.75" customHeight="1" x14ac:dyDescent="0.15">
      <c r="B8" s="15">
        <v>0</v>
      </c>
      <c r="C8" s="35">
        <v>1</v>
      </c>
      <c r="D8" s="35">
        <v>1</v>
      </c>
      <c r="E8" s="15">
        <v>0</v>
      </c>
      <c r="F8" s="35">
        <v>1</v>
      </c>
      <c r="G8" s="35">
        <v>1</v>
      </c>
      <c r="H8" s="35">
        <v>1</v>
      </c>
      <c r="I8" s="15">
        <v>0</v>
      </c>
      <c r="J8" s="15">
        <v>0</v>
      </c>
      <c r="K8" s="35">
        <v>1</v>
      </c>
      <c r="N8" s="17" t="s">
        <v>41</v>
      </c>
      <c r="O8" s="17">
        <v>25</v>
      </c>
      <c r="P8" s="17">
        <v>55</v>
      </c>
    </row>
    <row r="9" spans="1:16" ht="30.75" customHeight="1" x14ac:dyDescent="0.15">
      <c r="B9" s="15">
        <v>0</v>
      </c>
      <c r="C9" s="15">
        <v>0</v>
      </c>
      <c r="D9" s="15">
        <v>0</v>
      </c>
      <c r="E9" s="35">
        <v>1</v>
      </c>
      <c r="F9" s="15">
        <v>0</v>
      </c>
      <c r="G9" s="35">
        <v>1</v>
      </c>
      <c r="H9" s="15">
        <v>0</v>
      </c>
      <c r="I9" s="11">
        <v>0</v>
      </c>
      <c r="J9" s="35">
        <v>1</v>
      </c>
      <c r="K9" s="35">
        <v>1</v>
      </c>
      <c r="N9" s="17" t="s">
        <v>42</v>
      </c>
      <c r="O9" s="17">
        <v>101</v>
      </c>
      <c r="P9" s="17">
        <v>101</v>
      </c>
    </row>
    <row r="10" spans="1:16" ht="30.75" customHeight="1" x14ac:dyDescent="0.15">
      <c r="B10" s="35">
        <v>1</v>
      </c>
      <c r="C10" s="15">
        <v>0</v>
      </c>
      <c r="D10" s="15">
        <v>0</v>
      </c>
      <c r="E10" s="35">
        <v>1</v>
      </c>
      <c r="F10" s="35">
        <v>1</v>
      </c>
      <c r="G10" s="35">
        <v>1</v>
      </c>
      <c r="H10" s="35">
        <v>1</v>
      </c>
      <c r="I10" s="15">
        <v>0</v>
      </c>
      <c r="J10" s="15">
        <v>0</v>
      </c>
      <c r="K10" s="35">
        <v>1</v>
      </c>
    </row>
    <row r="11" spans="1:16" ht="30.75" customHeight="1" x14ac:dyDescent="0.15">
      <c r="B11" s="15">
        <v>0</v>
      </c>
      <c r="C11" s="15">
        <v>0</v>
      </c>
      <c r="D11" s="35">
        <v>1</v>
      </c>
      <c r="E11" s="15">
        <v>0</v>
      </c>
      <c r="F11" s="35">
        <v>1</v>
      </c>
      <c r="G11" s="35">
        <v>1</v>
      </c>
      <c r="H11" s="35">
        <v>1</v>
      </c>
      <c r="I11" s="35">
        <v>1</v>
      </c>
      <c r="J11" s="35">
        <v>1</v>
      </c>
      <c r="K11" s="35">
        <v>1</v>
      </c>
    </row>
    <row r="12" spans="1:16" ht="30.75" customHeight="1" x14ac:dyDescent="0.15">
      <c r="B12" s="15">
        <v>0</v>
      </c>
      <c r="C12" s="35">
        <v>1</v>
      </c>
      <c r="D12" s="15">
        <v>0</v>
      </c>
      <c r="E12" s="35">
        <v>1</v>
      </c>
      <c r="F12" s="35">
        <v>1</v>
      </c>
      <c r="G12" s="35">
        <v>1</v>
      </c>
      <c r="H12" s="35">
        <v>1</v>
      </c>
      <c r="I12" s="15">
        <v>0</v>
      </c>
      <c r="J12" s="35">
        <v>1</v>
      </c>
      <c r="K12" s="15">
        <v>0</v>
      </c>
    </row>
    <row r="13" spans="1:16" ht="30.75" customHeight="1" x14ac:dyDescent="0.15"/>
    <row r="14" spans="1:16" ht="30.75" customHeight="1" x14ac:dyDescent="0.15"/>
    <row r="15" spans="1:16" ht="30.75" customHeight="1" x14ac:dyDescent="0.15"/>
    <row r="16" spans="1:16" ht="30.75" customHeight="1" x14ac:dyDescent="0.15"/>
  </sheetData>
  <mergeCells count="2">
    <mergeCell ref="O2:P2"/>
    <mergeCell ref="O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Instructions</vt:lpstr>
      <vt:lpstr>Distribution of results</vt:lpstr>
      <vt:lpstr>Worksheet 1</vt:lpstr>
      <vt:lpstr>Muyuan Li</vt:lpstr>
      <vt:lpstr>Sydney Crum </vt:lpstr>
      <vt:lpstr>Juan Bedoya</vt:lpstr>
      <vt:lpstr>Cristina Trujillo</vt:lpstr>
      <vt:lpstr>Natalie Wright</vt:lpstr>
      <vt:lpstr>Brianna Reynolds</vt:lpstr>
      <vt:lpstr>Anna Weber</vt:lpstr>
      <vt:lpstr>Quinn Casey</vt:lpstr>
      <vt:lpstr>Kate Fish</vt:lpstr>
      <vt:lpstr>Matthew Marchese</vt:lpstr>
      <vt:lpstr>Espie Ortega-Tapia</vt:lpstr>
      <vt:lpstr>Jordan Dreisbach</vt:lpstr>
      <vt:lpstr>Ailis Wall</vt:lpstr>
      <vt:lpstr>Alicia Harris</vt:lpstr>
      <vt:lpstr>Alexander Gunnerson</vt:lpstr>
      <vt:lpstr>Brooke Iacone</vt:lpstr>
      <vt:lpstr>Evan Magallanes</vt:lpstr>
      <vt:lpstr>Lily Shpak</vt:lpstr>
      <vt:lpstr>Samantha Proulx-Whitcomb</vt:lpstr>
      <vt:lpstr>by equation</vt:lpstr>
      <vt:lpstr>Kelsey Bartlett</vt:lpstr>
      <vt:lpstr>Anne Sheehan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Ginger Allington</cp:lastModifiedBy>
  <dcterms:modified xsi:type="dcterms:W3CDTF">2026-09-08T20:19:41Z</dcterms:modified>
</cp:coreProperties>
</file>