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<sst xmlns="http://schemas.openxmlformats.org/spreadsheetml/2006/main" count="46" uniqueCount="34">
  <si>
    <t>Land cover type</t>
  </si>
  <si>
    <t>Amount of</t>
  </si>
  <si>
    <t>Phosphorus</t>
  </si>
  <si>
    <t>Simplified</t>
  </si>
  <si>
    <t>Equations</t>
  </si>
  <si>
    <t>phosphorus</t>
  </si>
  <si>
    <t>absorption</t>
  </si>
  <si>
    <t>transfer</t>
  </si>
  <si>
    <t>produced</t>
  </si>
  <si>
    <t>capacity</t>
  </si>
  <si>
    <t>coefficient</t>
  </si>
  <si>
    <t>(for use</t>
  </si>
  <si>
    <r>
      <rPr>
        <rFont val="&quot;Times New Roman&quot;"/>
        <b/>
        <color theme="1"/>
        <sz val="12.0"/>
      </rPr>
      <t>(g/20 m</t>
    </r>
    <r>
      <rPr>
        <rFont val="Times New Roman"/>
        <b/>
        <color theme="1"/>
        <sz val="12.0"/>
        <vertAlign val="superscript"/>
      </rPr>
      <t>2</t>
    </r>
    <r>
      <rPr>
        <rFont val="Times New Roman"/>
        <b/>
        <color theme="1"/>
        <sz val="12.0"/>
      </rPr>
      <t>)</t>
    </r>
  </si>
  <si>
    <r>
      <rPr>
        <rFont val="&quot;Times New Roman&quot;"/>
        <b/>
        <color theme="1"/>
        <sz val="12.0"/>
      </rPr>
      <t>(g/20 m</t>
    </r>
    <r>
      <rPr>
        <rFont val="Times New Roman"/>
        <b/>
        <color theme="1"/>
        <sz val="12.0"/>
        <vertAlign val="superscript"/>
      </rPr>
      <t>2</t>
    </r>
    <r>
      <rPr>
        <rFont val="Times New Roman"/>
        <b/>
        <color theme="1"/>
        <sz val="12.0"/>
      </rPr>
      <t>)</t>
    </r>
  </si>
  <si>
    <t>(proportion)</t>
  </si>
  <si>
    <t>in model)</t>
  </si>
  <si>
    <t>Lawn (heavily fertilized)</t>
  </si>
  <si>
    <t>-</t>
  </si>
  <si>
    <t>Lawn (slightly fertilized)</t>
  </si>
  <si>
    <t>City park (slightly fertilized)</t>
  </si>
  <si>
    <t>Residential homes</t>
  </si>
  <si>
    <t>Apartments</t>
  </si>
  <si>
    <t>Commercial district</t>
  </si>
  <si>
    <t>Industrial district</t>
  </si>
  <si>
    <t>Construction site</t>
  </si>
  <si>
    <t>Runoff treatment wetland</t>
  </si>
  <si>
    <t>Forest</t>
  </si>
  <si>
    <t>Stormflow volume (m3/m2)</t>
  </si>
  <si>
    <t xml:space="preserve"> </t>
  </si>
  <si>
    <t>Total Number of River Cells</t>
  </si>
  <si>
    <t>MODEL OUTPUT:</t>
  </si>
  <si>
    <t>TOTAL P LOADING (g)</t>
  </si>
  <si>
    <t xml:space="preserve">IN-STREAM P </t>
  </si>
  <si>
    <r>
      <rPr>
        <rFont val="Times New Roman"/>
        <b/>
        <color theme="1"/>
        <sz val="12.0"/>
      </rPr>
      <t>CONCENTRATION (mg/m</t>
    </r>
    <r>
      <rPr>
        <rFont val="Times New Roman"/>
        <b/>
        <color theme="1"/>
        <sz val="12.0"/>
        <vertAlign val="superscript"/>
      </rPr>
      <t>3</t>
    </r>
    <r>
      <rPr>
        <rFont val="Times New Roman"/>
        <b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</si>
</sst>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,000"/>
  </numFmts>
  <fonts count="8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Calibri"/>
    </font>
    <font>
      <sz val="12.0"/>
      <color theme="1"/>
      <name val="&quot;Times New Roman&quot;"/>
    </font>
    <font>
      <color theme="1"/>
      <name val="Arimo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C0"/>
        <bgColor rgb="FFFFFFC0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0C0FF"/>
        <bgColor rgb="FFC0C0FF"/>
      </patternFill>
    </fill>
    <fill>
      <patternFill patternType="solid">
        <fgColor rgb="FFFF0000"/>
        <bgColor rgb="FFFF0000"/>
      </patternFill>
    </fill>
    <fill>
      <patternFill patternType="solid">
        <fgColor rgb="FF969696"/>
        <bgColor rgb="FF969696"/>
      </patternFill>
    </fill>
    <fill>
      <patternFill patternType="solid">
        <fgColor rgb="FF996633"/>
        <bgColor rgb="FF996633"/>
      </patternFill>
    </fill>
    <fill>
      <patternFill patternType="solid">
        <fgColor rgb="FF00FF00"/>
        <bgColor rgb="FF00FF00"/>
      </patternFill>
    </fill>
    <fill>
      <patternFill patternType="solid">
        <fgColor rgb="FF339933"/>
        <bgColor rgb="FF339933"/>
      </patternFill>
    </fill>
    <fill>
      <patternFill patternType="solid">
        <fgColor theme="9"/>
        <bgColor theme="9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3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0" fillId="0" fontId="3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1" fillId="2" fontId="4" numFmtId="2" xfId="0" applyAlignment="1" applyBorder="1" applyFont="1" applyNumberFormat="1">
      <alignment horizontal="center" vertical="bottom"/>
    </xf>
    <xf borderId="1" fillId="3" fontId="1" numFmtId="0" xfId="0" applyAlignment="1" applyBorder="1" applyFill="1" applyFont="1">
      <alignment vertical="bottom"/>
    </xf>
    <xf borderId="1" fillId="3" fontId="4" numFmtId="2" xfId="0" applyAlignment="1" applyBorder="1" applyFont="1" applyNumberFormat="1">
      <alignment horizontal="center" vertical="bottom"/>
    </xf>
    <xf borderId="1" fillId="4" fontId="1" numFmtId="0" xfId="0" applyAlignment="1" applyBorder="1" applyFill="1" applyFont="1">
      <alignment vertical="bottom"/>
    </xf>
    <xf borderId="1" fillId="4" fontId="4" numFmtId="2" xfId="0" applyAlignment="1" applyBorder="1" applyFont="1" applyNumberFormat="1">
      <alignment horizontal="center" vertical="bottom"/>
    </xf>
    <xf borderId="1" fillId="5" fontId="1" numFmtId="0" xfId="0" applyAlignment="1" applyBorder="1" applyFill="1" applyFont="1">
      <alignment vertical="bottom"/>
    </xf>
    <xf borderId="1" fillId="5" fontId="4" numFmtId="2" xfId="0" applyAlignment="1" applyBorder="1" applyFont="1" applyNumberFormat="1">
      <alignment horizontal="center" vertical="bottom"/>
    </xf>
    <xf borderId="1" fillId="6" fontId="1" numFmtId="0" xfId="0" applyAlignment="1" applyBorder="1" applyFill="1" applyFont="1">
      <alignment vertical="bottom"/>
    </xf>
    <xf borderId="1" fillId="6" fontId="4" numFmtId="2" xfId="0" applyAlignment="1" applyBorder="1" applyFont="1" applyNumberFormat="1">
      <alignment horizontal="center" vertical="bottom"/>
    </xf>
    <xf borderId="1" fillId="7" fontId="1" numFmtId="0" xfId="0" applyAlignment="1" applyBorder="1" applyFill="1" applyFont="1">
      <alignment vertical="bottom"/>
    </xf>
    <xf borderId="1" fillId="7" fontId="4" numFmtId="2" xfId="0" applyAlignment="1" applyBorder="1" applyFont="1" applyNumberFormat="1">
      <alignment horizontal="center" vertical="bottom"/>
    </xf>
    <xf borderId="1" fillId="8" fontId="1" numFmtId="0" xfId="0" applyAlignment="1" applyBorder="1" applyFill="1" applyFont="1">
      <alignment vertical="bottom"/>
    </xf>
    <xf borderId="1" fillId="8" fontId="4" numFmtId="2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vertical="bottom"/>
    </xf>
    <xf borderId="1" fillId="9" fontId="4" numFmtId="2" xfId="0" applyAlignment="1" applyBorder="1" applyFont="1" applyNumberFormat="1">
      <alignment horizontal="center" vertical="bottom"/>
    </xf>
    <xf borderId="1" fillId="10" fontId="1" numFmtId="0" xfId="0" applyAlignment="1" applyBorder="1" applyFill="1" applyFont="1">
      <alignment vertical="bottom"/>
    </xf>
    <xf borderId="1" fillId="10" fontId="4" numFmtId="2" xfId="0" applyAlignment="1" applyBorder="1" applyFont="1" applyNumberFormat="1">
      <alignment horizontal="center" vertical="bottom"/>
    </xf>
    <xf borderId="1" fillId="11" fontId="1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2" fillId="12" fontId="6" numFmtId="164" xfId="0" applyAlignment="1" applyBorder="1" applyFill="1" applyFont="1" applyNumberFormat="1">
      <alignment horizontal="center" readingOrder="0"/>
    </xf>
    <xf borderId="0" fillId="0" fontId="6" numFmtId="0" xfId="0" applyFont="1"/>
    <xf borderId="0" fillId="0" fontId="5" numFmtId="0" xfId="0" applyAlignment="1" applyFont="1">
      <alignment readingOrder="0" vertical="bottom"/>
    </xf>
    <xf borderId="3" fillId="12" fontId="6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vertical="bottom"/>
    </xf>
    <xf borderId="4" fillId="13" fontId="5" numFmtId="0" xfId="0" applyAlignment="1" applyBorder="1" applyFill="1" applyFont="1">
      <alignment vertical="bottom"/>
    </xf>
    <xf borderId="5" fillId="13" fontId="6" numFmtId="0" xfId="0" applyAlignment="1" applyBorder="1" applyFont="1">
      <alignment vertical="bottom"/>
    </xf>
    <xf borderId="6" fillId="13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7" fillId="0" fontId="5" numFmtId="0" xfId="0" applyAlignment="1" applyBorder="1" applyFont="1">
      <alignment readingOrder="0" shrinkToFit="0" vertical="bottom" wrapText="0"/>
    </xf>
    <xf borderId="1" fillId="14" fontId="5" numFmtId="2" xfId="0" applyAlignment="1" applyBorder="1" applyFill="1" applyFont="1" applyNumberFormat="1">
      <alignment horizontal="center" readingOrder="0" vertical="bottom"/>
    </xf>
    <xf borderId="7" fillId="0" fontId="6" numFmtId="0" xfId="0" applyBorder="1" applyFont="1"/>
    <xf borderId="8" fillId="0" fontId="6" numFmtId="0" xfId="0" applyBorder="1" applyFont="1"/>
    <xf borderId="7" fillId="0" fontId="5" numFmtId="0" xfId="0" applyAlignment="1" applyBorder="1" applyFont="1">
      <alignment vertical="bottom"/>
    </xf>
    <xf borderId="8" fillId="0" fontId="6" numFmtId="2" xfId="0" applyAlignment="1" applyBorder="1" applyFont="1" applyNumberFormat="1">
      <alignment vertical="bottom"/>
    </xf>
    <xf borderId="9" fillId="0" fontId="5" numFmtId="0" xfId="0" applyAlignment="1" applyBorder="1" applyFont="1">
      <alignment shrinkToFit="0" vertical="bottom" wrapText="0"/>
    </xf>
    <xf borderId="10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4.13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4"/>
      <c r="G2" s="3" t="s">
        <v>4</v>
      </c>
    </row>
    <row r="3">
      <c r="B3" s="4"/>
      <c r="C3" s="2" t="s">
        <v>5</v>
      </c>
      <c r="D3" s="3" t="s">
        <v>6</v>
      </c>
      <c r="E3" s="5" t="s">
        <v>7</v>
      </c>
      <c r="F3" s="4"/>
      <c r="G3" s="4"/>
    </row>
    <row r="4">
      <c r="B4" s="4"/>
      <c r="C4" s="3" t="s">
        <v>8</v>
      </c>
      <c r="D4" s="3" t="s">
        <v>9</v>
      </c>
      <c r="E4" s="5" t="s">
        <v>10</v>
      </c>
      <c r="F4" s="4"/>
      <c r="G4" s="3" t="s">
        <v>11</v>
      </c>
    </row>
    <row r="5">
      <c r="B5" s="4"/>
      <c r="C5" s="3" t="s">
        <v>12</v>
      </c>
      <c r="D5" s="3" t="s">
        <v>13</v>
      </c>
      <c r="E5" s="3" t="s">
        <v>14</v>
      </c>
      <c r="F5" s="4"/>
      <c r="G5" s="3" t="s">
        <v>15</v>
      </c>
    </row>
    <row r="6">
      <c r="B6" s="6" t="s">
        <v>16</v>
      </c>
      <c r="C6" s="7">
        <v>30.0</v>
      </c>
      <c r="D6" s="8" t="s">
        <v>17</v>
      </c>
      <c r="E6" s="9">
        <v>0.6</v>
      </c>
      <c r="F6" s="4"/>
      <c r="G6" s="10">
        <f>(F6+$C$6)*$E$6</f>
        <v>18</v>
      </c>
    </row>
    <row r="7">
      <c r="B7" s="11" t="s">
        <v>18</v>
      </c>
      <c r="C7" s="7">
        <v>4.0</v>
      </c>
      <c r="D7" s="8" t="s">
        <v>17</v>
      </c>
      <c r="E7" s="9">
        <v>0.6</v>
      </c>
      <c r="F7" s="4"/>
      <c r="G7" s="12">
        <f>(F7+$C$7)*$E$7</f>
        <v>2.4</v>
      </c>
    </row>
    <row r="8">
      <c r="B8" s="13" t="s">
        <v>19</v>
      </c>
      <c r="C8" s="7">
        <v>4.0</v>
      </c>
      <c r="D8" s="8" t="s">
        <v>17</v>
      </c>
      <c r="E8" s="9">
        <v>0.6</v>
      </c>
      <c r="F8" s="4"/>
      <c r="G8" s="14">
        <f>(F8+$C$8)*$E$8</f>
        <v>2.4</v>
      </c>
    </row>
    <row r="9">
      <c r="B9" s="15" t="s">
        <v>20</v>
      </c>
      <c r="C9" s="7">
        <v>70.0</v>
      </c>
      <c r="D9" s="8" t="s">
        <v>17</v>
      </c>
      <c r="E9" s="8">
        <v>1.0</v>
      </c>
      <c r="F9" s="4"/>
      <c r="G9" s="16">
        <f>(F9+$C$9)*$E$9</f>
        <v>70</v>
      </c>
    </row>
    <row r="10">
      <c r="B10" s="17" t="s">
        <v>21</v>
      </c>
      <c r="C10" s="7">
        <v>30.0</v>
      </c>
      <c r="D10" s="8" t="s">
        <v>17</v>
      </c>
      <c r="E10" s="8">
        <v>1.0</v>
      </c>
      <c r="F10" s="4"/>
      <c r="G10" s="18">
        <f>(F10+$C$10)*$E$10</f>
        <v>30</v>
      </c>
    </row>
    <row r="11">
      <c r="B11" s="19" t="s">
        <v>22</v>
      </c>
      <c r="C11" s="7">
        <v>20.0</v>
      </c>
      <c r="D11" s="8" t="s">
        <v>17</v>
      </c>
      <c r="E11" s="8">
        <v>1.0</v>
      </c>
      <c r="F11" s="4"/>
      <c r="G11" s="20">
        <f>(F11+$C$11)*$E$11</f>
        <v>20</v>
      </c>
    </row>
    <row r="12">
      <c r="B12" s="21" t="s">
        <v>23</v>
      </c>
      <c r="C12" s="7">
        <v>40.0</v>
      </c>
      <c r="D12" s="8" t="s">
        <v>17</v>
      </c>
      <c r="E12" s="8">
        <v>1.0</v>
      </c>
      <c r="F12" s="4"/>
      <c r="G12" s="22">
        <f>(F12+$C$12)*$E$12</f>
        <v>40</v>
      </c>
    </row>
    <row r="13">
      <c r="B13" s="23" t="s">
        <v>24</v>
      </c>
      <c r="C13" s="7">
        <v>200.0</v>
      </c>
      <c r="D13" s="8" t="s">
        <v>17</v>
      </c>
      <c r="E13" s="8">
        <v>1.0</v>
      </c>
      <c r="F13" s="4"/>
      <c r="G13" s="24">
        <f>(F13+$C$13)*$E$13</f>
        <v>200</v>
      </c>
    </row>
    <row r="14">
      <c r="B14" s="25" t="s">
        <v>25</v>
      </c>
      <c r="C14" s="8" t="s">
        <v>17</v>
      </c>
      <c r="D14" s="8">
        <v>50.0</v>
      </c>
      <c r="E14" s="9"/>
      <c r="F14" s="4"/>
      <c r="G14" s="26">
        <f>IF(F14&lt;$D$14,0,F14-$D$14)</f>
        <v>0</v>
      </c>
    </row>
    <row r="15">
      <c r="B15" s="27" t="s">
        <v>26</v>
      </c>
      <c r="C15" s="28" t="s">
        <v>17</v>
      </c>
      <c r="D15" s="28">
        <v>40.0</v>
      </c>
      <c r="E15" s="29"/>
      <c r="F15" s="4"/>
      <c r="G15" s="26">
        <f>IF(F15&lt;$D$15,0,F15-$D$15)</f>
        <v>0</v>
      </c>
    </row>
    <row r="17">
      <c r="B17" s="30" t="s">
        <v>27</v>
      </c>
      <c r="C17" s="31" t="s">
        <v>28</v>
      </c>
      <c r="D17" s="32"/>
      <c r="E17" s="32"/>
      <c r="F17" s="32"/>
      <c r="G17" s="32"/>
    </row>
    <row r="18">
      <c r="B18" s="33" t="s">
        <v>29</v>
      </c>
      <c r="C18" s="34" t="s">
        <v>28</v>
      </c>
      <c r="D18" s="35"/>
      <c r="E18" s="35"/>
      <c r="F18" s="36"/>
      <c r="G18" s="32"/>
    </row>
    <row r="19">
      <c r="B19" s="32"/>
      <c r="C19" s="32"/>
      <c r="D19" s="32"/>
      <c r="E19" s="32"/>
      <c r="F19" s="32"/>
      <c r="G19" s="32"/>
    </row>
    <row r="20" ht="18.75" customHeight="1">
      <c r="B20" s="37" t="s">
        <v>30</v>
      </c>
      <c r="C20" s="38"/>
      <c r="D20" s="39"/>
      <c r="G20" s="32"/>
    </row>
    <row r="21">
      <c r="B21" s="40"/>
      <c r="C21" s="35"/>
      <c r="D21" s="41"/>
      <c r="G21" s="32"/>
    </row>
    <row r="22">
      <c r="B22" s="42" t="s">
        <v>31</v>
      </c>
      <c r="D22" s="43" t="s">
        <v>28</v>
      </c>
      <c r="G22" s="32"/>
    </row>
    <row r="23">
      <c r="B23" s="44"/>
      <c r="D23" s="45"/>
      <c r="G23" s="32"/>
    </row>
    <row r="24">
      <c r="B24" s="46" t="s">
        <v>32</v>
      </c>
      <c r="D24" s="47"/>
      <c r="G24" s="32"/>
    </row>
    <row r="25">
      <c r="B25" s="48" t="s">
        <v>33</v>
      </c>
      <c r="C25" s="49"/>
      <c r="D25" s="43" t="s">
        <v>28</v>
      </c>
      <c r="G25" s="32"/>
    </row>
    <row r="26">
      <c r="B26" s="32"/>
      <c r="D26" s="32"/>
      <c r="F26" s="32"/>
      <c r="G26" s="32"/>
    </row>
  </sheetData>
  <drawing r:id="rId1"/>
</worksheet>
</file>