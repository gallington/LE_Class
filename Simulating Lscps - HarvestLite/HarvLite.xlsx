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gergel\Google Drive\LLE 2nd Ed - Files &amp; Data for Labs\Ch9 HarvLite\"/>
    </mc:Choice>
  </mc:AlternateContent>
  <bookViews>
    <workbookView xWindow="600" yWindow="60" windowWidth="15330" windowHeight="8685"/>
  </bookViews>
  <sheets>
    <sheet name="Exercise 1" sheetId="1" r:id="rId1"/>
    <sheet name="Exercise 2" sheetId="4" r:id="rId2"/>
    <sheet name="Exercise 3" sheetId="5" r:id="rId3"/>
    <sheet name="Exercise 4" sheetId="9" r:id="rId4"/>
  </sheets>
  <calcPr calcId="162913"/>
</workbook>
</file>

<file path=xl/calcChain.xml><?xml version="1.0" encoding="utf-8"?>
<calcChain xmlns="http://schemas.openxmlformats.org/spreadsheetml/2006/main">
  <c r="E20" i="5" l="1"/>
  <c r="G20" i="5"/>
  <c r="G19" i="5"/>
  <c r="F20" i="5"/>
  <c r="F19" i="5"/>
  <c r="E19" i="5"/>
  <c r="D20" i="5"/>
  <c r="D19" i="5"/>
  <c r="C20" i="5"/>
  <c r="C19" i="5"/>
  <c r="B20" i="5"/>
  <c r="B19" i="5"/>
  <c r="B27" i="4"/>
  <c r="C27" i="4"/>
  <c r="G28" i="4"/>
  <c r="F28" i="4"/>
  <c r="E28" i="4"/>
  <c r="D28" i="4"/>
  <c r="C28" i="4"/>
  <c r="B28" i="4"/>
  <c r="G27" i="4"/>
  <c r="F27" i="4"/>
  <c r="E27" i="4"/>
  <c r="D27" i="4"/>
  <c r="G26" i="4"/>
  <c r="F26" i="4"/>
  <c r="E26" i="4"/>
  <c r="D26" i="4"/>
  <c r="C26" i="4"/>
  <c r="B26" i="4"/>
  <c r="G25" i="4"/>
  <c r="F25" i="4"/>
  <c r="E25" i="4"/>
  <c r="D25" i="4"/>
  <c r="C25" i="4"/>
  <c r="B25" i="4"/>
  <c r="G26" i="1" l="1"/>
  <c r="G27" i="1"/>
  <c r="G28" i="1"/>
  <c r="G25" i="1"/>
  <c r="F26" i="1"/>
  <c r="F27" i="1"/>
  <c r="F28" i="1"/>
  <c r="F25" i="1"/>
  <c r="E26" i="1"/>
  <c r="E27" i="1"/>
  <c r="E28" i="1"/>
  <c r="E25" i="1"/>
  <c r="D26" i="1"/>
  <c r="D27" i="1"/>
  <c r="D28" i="1"/>
  <c r="D25" i="1"/>
  <c r="C26" i="1"/>
  <c r="C27" i="1"/>
  <c r="C28" i="1"/>
  <c r="C25" i="1"/>
  <c r="B26" i="1"/>
  <c r="B27" i="1"/>
  <c r="B28" i="1"/>
  <c r="B25" i="1"/>
</calcChain>
</file>

<file path=xl/sharedStrings.xml><?xml version="1.0" encoding="utf-8"?>
<sst xmlns="http://schemas.openxmlformats.org/spreadsheetml/2006/main" count="94" uniqueCount="25">
  <si>
    <t>Mean harvest size (ha)</t>
  </si>
  <si>
    <t>Forest Interior (ha)</t>
  </si>
  <si>
    <t>Forest Edge (ha)</t>
  </si>
  <si>
    <t>Mean Patch Size (ha)</t>
  </si>
  <si>
    <t>Harvest Area (%)</t>
  </si>
  <si>
    <t>REPLICATE 1</t>
  </si>
  <si>
    <t>REPLICATE 2</t>
  </si>
  <si>
    <t>REPLICATE 3</t>
  </si>
  <si>
    <t>MEANS of THREE REPLICATES</t>
  </si>
  <si>
    <t>Mean Forest Interior (ha)</t>
  </si>
  <si>
    <t>Do NOT Modify Formulae in Gray</t>
  </si>
  <si>
    <t>If you change values in Blue, make them consistent for each Replicate</t>
  </si>
  <si>
    <t>Std Dev Forest Int. (ha)</t>
  </si>
  <si>
    <t>Std Dev Forest Edge (ha)</t>
  </si>
  <si>
    <t>Std Dev Patch Size (ha)</t>
  </si>
  <si>
    <t>Dispersion Method</t>
  </si>
  <si>
    <t>Dispersed</t>
  </si>
  <si>
    <t>Clumped</t>
  </si>
  <si>
    <t>Mean Forest Edge (ha)</t>
  </si>
  <si>
    <t>Replace the values in each table with those produced by your model runs</t>
  </si>
  <si>
    <t>Edge buffer width (m)</t>
  </si>
  <si>
    <t>Opening persistence = 20yr</t>
  </si>
  <si>
    <t>Opening persistence = 30yr</t>
  </si>
  <si>
    <t>Replace the values in each table with those produced by your model run</t>
  </si>
  <si>
    <t>If you change values in Blue, make them consistent for each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</si>
</sst>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Arial"/>
    </font>
    <font>
      <sz val="12"/>
      <name val="CG Times"/>
      <family val="1"/>
    </font>
    <font>
      <b/>
      <sz val="12"/>
      <name val="CG Times"/>
      <family val="1"/>
    </font>
    <font>
      <b/>
      <sz val="12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 wrapText="1"/>
    </xf>
    <xf numFmtId="0" fontId="3" fillId="3" borderId="0" xfId="0" applyFont="1" applyFill="1"/>
    <xf numFmtId="0" fontId="3" fillId="4" borderId="0" xfId="0" applyFont="1" applyFill="1"/>
    <xf numFmtId="0" fontId="1" fillId="4" borderId="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" fillId="5" borderId="13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15" xfId="0" applyFont="1" applyFill="1" applyBorder="1" applyAlignment="1">
      <alignment vertical="top" wrapText="1"/>
    </xf>
    <xf numFmtId="0" fontId="1" fillId="5" borderId="10" xfId="0" applyFont="1" applyFill="1" applyBorder="1" applyAlignment="1">
      <alignment horizontal="center" vertical="top" wrapText="1"/>
    </xf>
    <xf numFmtId="0" fontId="2" fillId="5" borderId="14" xfId="0" applyFont="1" applyFill="1" applyBorder="1" applyAlignment="1">
      <alignment vertical="top" wrapText="1"/>
    </xf>
    <xf numFmtId="0" fontId="0" fillId="5" borderId="0" xfId="0" applyFill="1"/>
    <xf numFmtId="0" fontId="1" fillId="2" borderId="1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11" xfId="0" applyFont="1" applyFill="1" applyBorder="1" applyAlignment="1">
      <alignment horizontal="center" vertical="top" wrapText="1"/>
    </xf>
    <xf numFmtId="0" fontId="0" fillId="2" borderId="0" xfId="0" applyFill="1"/>
    <xf numFmtId="0" fontId="1" fillId="0" borderId="15" xfId="0" applyFont="1" applyBorder="1" applyAlignment="1">
      <alignment vertical="top" wrapText="1"/>
    </xf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Forest Interior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'Exercise 1'!$C$25:$C$28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'Exercise 1'!$C$25:$C$28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</c:errBars>
          <c:xVal>
            <c:numRef>
              <c:f>'Exercise 1'!$A$25:$A$28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'Exercise 1'!$B$25:$B$28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39-4620-801A-916D9C1AF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88416"/>
        <c:axId val="107372928"/>
      </c:scatterChart>
      <c:valAx>
        <c:axId val="102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Harvest size (ha)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372928"/>
        <c:crosses val="autoZero"/>
        <c:crossBetween val="midCat"/>
      </c:valAx>
      <c:valAx>
        <c:axId val="107372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Forest Interior (ha)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58841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Forest Edge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'Exercise 1'!$E$25:$E$28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'Exercise 1'!$E$25:$E$28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</c:errBars>
          <c:xVal>
            <c:numRef>
              <c:f>'Exercise 1'!$A$25:$A$28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'Exercise 1'!$D$25:$D$28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0A-4900-8D6E-5BAEBB4CC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59776"/>
        <c:axId val="114461696"/>
      </c:scatterChart>
      <c:valAx>
        <c:axId val="11445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harvest size (ha)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461696"/>
        <c:crosses val="autoZero"/>
        <c:crossBetween val="midCat"/>
      </c:valAx>
      <c:valAx>
        <c:axId val="114461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0" i="0" baseline="0"/>
                  <a:t>Forest Edge (ha</a:t>
                </a:r>
                <a:r>
                  <a:rPr lang="en-US" sz="1800" b="0" i="0" baseline="0"/>
                  <a:t>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45977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Patch Size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'Exercise 1'!$G$25:$G$28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'Exercise 1'!$G$25:$G$28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</c:errBars>
          <c:xVal>
            <c:numRef>
              <c:f>'Exercise 1'!$A$25:$A$28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'Exercise 1'!$F$25:$F$28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6F-443B-88C6-449181129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66528"/>
        <c:axId val="114968448"/>
      </c:scatterChart>
      <c:valAx>
        <c:axId val="11496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 lang="en-US"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rPr>
                  <a:t>Mean Harvest size (ha)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968448"/>
        <c:crosses val="autoZero"/>
        <c:crossBetween val="midCat"/>
      </c:valAx>
      <c:valAx>
        <c:axId val="1149684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en-US"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rPr>
                  <a:t>Patch Size (ha)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96652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Forest </a:t>
            </a:r>
            <a:r>
              <a:rPr lang="en-US" sz="1400"/>
              <a:t>Interior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Forest Interior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'Exercise 2'!$C$25:$C$28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'Exercise 2'!$C$25:$C$28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</c:errBars>
          <c:xVal>
            <c:numRef>
              <c:f>'Exercise 2'!$A$25:$A$28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'Exercise 2'!$B$25:$B$28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D6-4B57-B05A-0B900B21C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93792"/>
        <c:axId val="115008256"/>
      </c:scatterChart>
      <c:valAx>
        <c:axId val="114993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Harvest Area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008256"/>
        <c:crosses val="autoZero"/>
        <c:crossBetween val="midCat"/>
      </c:valAx>
      <c:valAx>
        <c:axId val="115008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Forest Interior (ha)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99379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/>
              <a:t>Forest Edge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Forest Edge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'Exercise 2'!$E$25:$E$28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'Exercise 2'!$E$25:$E$28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</c:errBars>
          <c:xVal>
            <c:numRef>
              <c:f>'Exercise 2'!$A$25:$A$28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'Exercise 2'!$D$25:$D$28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D-45D1-91EB-A5F4F3E47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06016"/>
        <c:axId val="106007936"/>
      </c:scatterChart>
      <c:valAx>
        <c:axId val="106006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0" i="0" baseline="0"/>
                  <a:t>Harvest Area (%)</a:t>
                </a:r>
                <a:endParaRPr lang="en-US" sz="1200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007936"/>
        <c:crosses val="autoZero"/>
        <c:crossBetween val="midCat"/>
      </c:valAx>
      <c:valAx>
        <c:axId val="106007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0" i="0" u="none" strike="noStrike" baseline="0"/>
                  <a:t>Forest Edge (ha)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00601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400"/>
              <a:t>Patch Size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Patch Size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'Exercise 2'!$G$25:$G$28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plus>
            <c:minus>
              <c:numRef>
                <c:f>'Exercise 2'!$G$25:$G$28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</c:errBars>
          <c:xVal>
            <c:numRef>
              <c:f>'Exercise 2'!$A$25:$A$28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'Exercise 2'!$F$25:$F$28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A9-4297-AEDB-C9EE163A0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461504"/>
        <c:axId val="1005463424"/>
      </c:scatterChart>
      <c:valAx>
        <c:axId val="100546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algn="ctr" rtl="0">
                  <a:defRPr lang="en-US"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 b="0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rPr>
                  <a:t>Harvest Area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5463424"/>
        <c:crosses val="autoZero"/>
        <c:crossBetween val="midCat"/>
      </c:valAx>
      <c:valAx>
        <c:axId val="1005463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0" i="0" u="none" strike="noStrike" baseline="0"/>
                  <a:t>Patch Size (ha)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546150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400" b="0"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Forest Interior</c:v>
          </c:tx>
          <c:invertIfNegative val="0"/>
          <c:errBars>
            <c:errBarType val="both"/>
            <c:errValType val="cust"/>
            <c:noEndCap val="0"/>
            <c:plus>
              <c:numRef>
                <c:f>'Exercise 3'!$C$19:$C$20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'Exercise 3'!$C$19:$C$20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</c:errBars>
          <c:cat>
            <c:strRef>
              <c:f>'Exercise 3'!$A$19:$A$20</c:f>
              <c:strCache>
                <c:ptCount val="2"/>
                <c:pt idx="0">
                  <c:v>Dispersed</c:v>
                </c:pt>
                <c:pt idx="1">
                  <c:v>Clumped</c:v>
                </c:pt>
              </c:strCache>
            </c:strRef>
          </c:cat>
          <c:val>
            <c:numRef>
              <c:f>'Exercise 3'!$B$19:$B$20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B-483F-A6E5-82C923EBA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893120"/>
        <c:axId val="1007911296"/>
      </c:barChart>
      <c:catAx>
        <c:axId val="1007893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07911296"/>
        <c:crosses val="autoZero"/>
        <c:auto val="1"/>
        <c:lblAlgn val="ctr"/>
        <c:lblOffset val="100"/>
        <c:noMultiLvlLbl val="0"/>
      </c:catAx>
      <c:valAx>
        <c:axId val="1007911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>
                    <a:latin typeface="Arial" pitchFamily="34" charset="0"/>
                    <a:cs typeface="Arial" pitchFamily="34" charset="0"/>
                  </a:defRPr>
                </a:pPr>
                <a:r>
                  <a:rPr lang="en-US" sz="1200" b="0">
                    <a:latin typeface="Arial" pitchFamily="34" charset="0"/>
                    <a:cs typeface="Arial" pitchFamily="34" charset="0"/>
                  </a:rPr>
                  <a:t>Forest Interior (ha)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007893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400" b="0"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Forest Edge</c:v>
          </c:tx>
          <c:invertIfNegative val="0"/>
          <c:errBars>
            <c:errBarType val="both"/>
            <c:errValType val="cust"/>
            <c:noEndCap val="0"/>
            <c:plus>
              <c:numRef>
                <c:f>'Exercise 3'!$E$19:$E$20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'Exercise 3'!$E$19:$E$20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</c:errBars>
          <c:cat>
            <c:strRef>
              <c:f>'Exercise 3'!$A$19:$A$20</c:f>
              <c:strCache>
                <c:ptCount val="2"/>
                <c:pt idx="0">
                  <c:v>Dispersed</c:v>
                </c:pt>
                <c:pt idx="1">
                  <c:v>Clumped</c:v>
                </c:pt>
              </c:strCache>
            </c:strRef>
          </c:cat>
          <c:val>
            <c:numRef>
              <c:f>'Exercise 3'!$D$19:$D$20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3-43DA-AB14-28190E2BA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7940352"/>
        <c:axId val="1007941888"/>
      </c:barChart>
      <c:catAx>
        <c:axId val="1007940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07941888"/>
        <c:crosses val="autoZero"/>
        <c:auto val="1"/>
        <c:lblAlgn val="ctr"/>
        <c:lblOffset val="100"/>
        <c:noMultiLvlLbl val="0"/>
      </c:catAx>
      <c:valAx>
        <c:axId val="1007941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>
                    <a:latin typeface="Arial" pitchFamily="34" charset="0"/>
                    <a:cs typeface="Arial" pitchFamily="34" charset="0"/>
                  </a:defRPr>
                </a:pPr>
                <a:r>
                  <a:rPr lang="en-US" sz="1200" b="0">
                    <a:latin typeface="Arial" pitchFamily="34" charset="0"/>
                    <a:cs typeface="Arial" pitchFamily="34" charset="0"/>
                  </a:rPr>
                  <a:t>Forest</a:t>
                </a:r>
                <a:r>
                  <a:rPr lang="en-US" sz="1200" b="0" baseline="0">
                    <a:latin typeface="Arial" pitchFamily="34" charset="0"/>
                    <a:cs typeface="Arial" pitchFamily="34" charset="0"/>
                  </a:rPr>
                  <a:t> Edge (ha)</a:t>
                </a:r>
                <a:endParaRPr lang="en-US" sz="1200" b="0">
                  <a:latin typeface="Arial" pitchFamily="34" charset="0"/>
                  <a:cs typeface="Arial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007940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400" b="0">
              <a:latin typeface="Arial" pitchFamily="34" charset="0"/>
              <a:cs typeface="Arial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Patch Size</c:v>
          </c:tx>
          <c:invertIfNegative val="0"/>
          <c:errBars>
            <c:errBarType val="both"/>
            <c:errValType val="cust"/>
            <c:noEndCap val="0"/>
            <c:plus>
              <c:numRef>
                <c:f>'Exercise 3'!$G$19:$G$20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'Exercise 3'!$G$19:$G$20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</c:errBars>
          <c:cat>
            <c:strRef>
              <c:f>'Exercise 3'!$A$19:$A$20</c:f>
              <c:strCache>
                <c:ptCount val="2"/>
                <c:pt idx="0">
                  <c:v>Dispersed</c:v>
                </c:pt>
                <c:pt idx="1">
                  <c:v>Clumped</c:v>
                </c:pt>
              </c:strCache>
            </c:strRef>
          </c:cat>
          <c:val>
            <c:numRef>
              <c:f>'Exercise 3'!$F$19:$F$20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4-440D-BA4D-1A50AD7EE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5410944"/>
        <c:axId val="1005425024"/>
      </c:barChart>
      <c:catAx>
        <c:axId val="1005410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05425024"/>
        <c:crosses val="autoZero"/>
        <c:auto val="1"/>
        <c:lblAlgn val="ctr"/>
        <c:lblOffset val="100"/>
        <c:noMultiLvlLbl val="0"/>
      </c:catAx>
      <c:valAx>
        <c:axId val="1005425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 b="0">
                    <a:latin typeface="Arial" pitchFamily="34" charset="0"/>
                    <a:cs typeface="Arial" pitchFamily="34" charset="0"/>
                  </a:defRPr>
                </a:pPr>
                <a:r>
                  <a:rPr lang="en-US" sz="1200" b="0">
                    <a:latin typeface="Arial" pitchFamily="34" charset="0"/>
                    <a:cs typeface="Arial" pitchFamily="34" charset="0"/>
                  </a:rPr>
                  <a:t>Patch Size (ha)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005410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'Exercise 4'!$B$2</c:f>
              <c:strCache>
                <c:ptCount val="1"/>
                <c:pt idx="0">
                  <c:v>Forest Interior (ha)</c:v>
                </c:pt>
              </c:strCache>
            </c:strRef>
          </c:tx>
          <c:invertIfNegative val="0"/>
          <c:cat>
            <c:numRef>
              <c:f>'Exercise 4'!$A$3:$A$5</c:f>
              <c:numCache>
                <c:formatCode>General</c:formatCode>
                <c:ptCount val="3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</c:numCache>
            </c:numRef>
          </c:cat>
          <c:val>
            <c:numRef>
              <c:f>'Exercise 4'!$B$3:$B$5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204E-44AF-814F-AA5FB9D0B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12896"/>
        <c:axId val="108119936"/>
      </c:barChart>
      <c:catAx>
        <c:axId val="10811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8119936"/>
        <c:crosses val="autoZero"/>
        <c:auto val="1"/>
        <c:lblAlgn val="ctr"/>
        <c:lblOffset val="100"/>
        <c:noMultiLvlLbl val="0"/>
      </c:catAx>
      <c:valAx>
        <c:axId val="108119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Forest Interior (ha)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8112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'Exercise 4'!$B$8</c:f>
              <c:strCache>
                <c:ptCount val="1"/>
                <c:pt idx="0">
                  <c:v>Forest Interior (ha)</c:v>
                </c:pt>
              </c:strCache>
            </c:strRef>
          </c:tx>
          <c:invertIfNegative val="0"/>
          <c:cat>
            <c:numRef>
              <c:f>'Exercise 4'!$A$9:$A$11</c:f>
              <c:numCache>
                <c:formatCode>General</c:formatCode>
                <c:ptCount val="3"/>
                <c:pt idx="0">
                  <c:v>0</c:v>
                </c:pt>
                <c:pt idx="1">
                  <c:v>150</c:v>
                </c:pt>
                <c:pt idx="2">
                  <c:v>300</c:v>
                </c:pt>
              </c:numCache>
            </c:numRef>
          </c:cat>
          <c:val>
            <c:numRef>
              <c:f>'Exercise 4'!$B$9:$B$11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C282-4340-BA0F-7EE0BD3D4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4975104"/>
        <c:axId val="1016874112"/>
      </c:barChart>
      <c:catAx>
        <c:axId val="101497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16874112"/>
        <c:crosses val="autoZero"/>
        <c:auto val="1"/>
        <c:lblAlgn val="ctr"/>
        <c:lblOffset val="100"/>
        <c:noMultiLvlLbl val="0"/>
      </c:catAx>
      <c:valAx>
        <c:axId val="1016874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Forest Interior (ha)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14975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30</xdr:row>
      <xdr:rowOff>57150</xdr:rowOff>
    </xdr:from>
    <xdr:to>
      <xdr:col>6</xdr:col>
      <xdr:colOff>47625</xdr:colOff>
      <xdr:row>46</xdr:row>
      <xdr:rowOff>47625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</xdr:colOff>
      <xdr:row>30</xdr:row>
      <xdr:rowOff>66675</xdr:rowOff>
    </xdr:from>
    <xdr:to>
      <xdr:col>12</xdr:col>
      <xdr:colOff>95250</xdr:colOff>
      <xdr:row>46</xdr:row>
      <xdr:rowOff>57150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400050</xdr:colOff>
      <xdr:row>46</xdr:row>
      <xdr:rowOff>104775</xdr:rowOff>
    </xdr:from>
    <xdr:to>
      <xdr:col>9</xdr:col>
      <xdr:colOff>76200</xdr:colOff>
      <xdr:row>63</xdr:row>
      <xdr:rowOff>133350</xdr:rowOff>
    </xdr:to>
    <xdr:graphicFrame macro="">
      <xdr:nvGraphicFramePr>
        <xdr:cNvPr id="102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30</xdr:row>
      <xdr:rowOff>57150</xdr:rowOff>
    </xdr:from>
    <xdr:to>
      <xdr:col>6</xdr:col>
      <xdr:colOff>47625</xdr:colOff>
      <xdr:row>46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</xdr:colOff>
      <xdr:row>30</xdr:row>
      <xdr:rowOff>66675</xdr:rowOff>
    </xdr:from>
    <xdr:to>
      <xdr:col>12</xdr:col>
      <xdr:colOff>95250</xdr:colOff>
      <xdr:row>46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400050</xdr:colOff>
      <xdr:row>46</xdr:row>
      <xdr:rowOff>104775</xdr:rowOff>
    </xdr:from>
    <xdr:to>
      <xdr:col>9</xdr:col>
      <xdr:colOff>76200</xdr:colOff>
      <xdr:row>63</xdr:row>
      <xdr:rowOff>133350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21</xdr:row>
      <xdr:rowOff>9525</xdr:rowOff>
    </xdr:from>
    <xdr:to>
      <xdr:col>6</xdr:col>
      <xdr:colOff>47625</xdr:colOff>
      <xdr:row>35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142875</xdr:colOff>
      <xdr:row>21</xdr:row>
      <xdr:rowOff>9525</xdr:rowOff>
    </xdr:from>
    <xdr:to>
      <xdr:col>12</xdr:col>
      <xdr:colOff>38100</xdr:colOff>
      <xdr:row>35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219075</xdr:colOff>
      <xdr:row>35</xdr:row>
      <xdr:rowOff>95250</xdr:rowOff>
    </xdr:from>
    <xdr:to>
      <xdr:col>9</xdr:col>
      <xdr:colOff>9525</xdr:colOff>
      <xdr:row>49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12</xdr:row>
      <xdr:rowOff>142875</xdr:rowOff>
    </xdr:from>
    <xdr:to>
      <xdr:col>6</xdr:col>
      <xdr:colOff>381000</xdr:colOff>
      <xdr:row>26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504825</xdr:colOff>
      <xdr:row>12</xdr:row>
      <xdr:rowOff>133350</xdr:rowOff>
    </xdr:from>
    <xdr:to>
      <xdr:col>11</xdr:col>
      <xdr:colOff>657225</xdr:colOff>
      <xdr:row>26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A33" workbookViewId="0">
      <selection activeCell="B17" sqref="B17:D20"/>
    </sheetView>
  </sheetViews>
  <sheetFormatPr defaultRowHeight="15"/>
  <cols>
    <col min="2" max="3" width="10.109375" bestFit="1" customWidth="1"/>
    <col min="6" max="7" width="10.109375" bestFit="1" customWidth="1"/>
  </cols>
  <sheetData>
    <row r="1" spans="1:11" ht="16.5" thickBot="1">
      <c r="A1" s="12" t="s">
        <v>5</v>
      </c>
      <c r="B1" s="12"/>
      <c r="C1" s="22" t="s">
        <v>10</v>
      </c>
      <c r="D1" s="22"/>
      <c r="E1" s="22"/>
      <c r="F1" s="26" t="s">
        <v>11</v>
      </c>
      <c r="G1" s="26"/>
      <c r="H1" s="26"/>
      <c r="I1" s="26"/>
      <c r="J1" s="26"/>
      <c r="K1" s="26"/>
    </row>
    <row r="2" spans="1:11" ht="48.75" thickTop="1" thickBot="1">
      <c r="A2" s="6" t="s">
        <v>0</v>
      </c>
      <c r="B2" s="7" t="s">
        <v>1</v>
      </c>
      <c r="C2" s="7" t="s">
        <v>2</v>
      </c>
      <c r="D2" s="8" t="s">
        <v>3</v>
      </c>
    </row>
    <row r="3" spans="1:11" ht="16.5" thickTop="1">
      <c r="A3" s="23">
        <v>1</v>
      </c>
      <c r="B3" s="2"/>
      <c r="C3" s="2"/>
      <c r="D3" s="3"/>
      <c r="F3" t="s">
        <v>19</v>
      </c>
    </row>
    <row r="4" spans="1:11" ht="15.75">
      <c r="A4" s="23">
        <v>10</v>
      </c>
      <c r="B4" s="2"/>
      <c r="C4" s="2"/>
      <c r="D4" s="3"/>
    </row>
    <row r="5" spans="1:11" ht="15.75">
      <c r="A5" s="23">
        <v>20</v>
      </c>
      <c r="B5" s="2"/>
      <c r="C5" s="2"/>
      <c r="D5" s="3"/>
    </row>
    <row r="6" spans="1:11" ht="16.5" thickBot="1">
      <c r="A6" s="24">
        <v>30</v>
      </c>
      <c r="B6" s="9"/>
      <c r="C6" s="4"/>
      <c r="D6" s="5"/>
    </row>
    <row r="7" spans="1:11" ht="16.5" thickTop="1">
      <c r="A7" s="10"/>
      <c r="B7" s="11"/>
      <c r="C7" s="11"/>
      <c r="D7" s="11"/>
      <c r="G7" s="10"/>
      <c r="H7" s="11"/>
      <c r="I7" s="11"/>
      <c r="J7" s="11"/>
    </row>
    <row r="8" spans="1:11" ht="16.5" thickBot="1">
      <c r="A8" s="12" t="s">
        <v>6</v>
      </c>
      <c r="B8" s="12"/>
      <c r="C8" s="11"/>
      <c r="D8" s="11"/>
      <c r="G8" s="10"/>
      <c r="H8" s="11"/>
      <c r="I8" s="11"/>
      <c r="J8" s="11"/>
    </row>
    <row r="9" spans="1:11" ht="48.75" thickTop="1" thickBot="1">
      <c r="A9" s="6" t="s">
        <v>0</v>
      </c>
      <c r="B9" s="7" t="s">
        <v>1</v>
      </c>
      <c r="C9" s="7" t="s">
        <v>2</v>
      </c>
      <c r="D9" s="8" t="s">
        <v>3</v>
      </c>
      <c r="G9" s="10"/>
      <c r="H9" s="11"/>
      <c r="I9" s="11"/>
      <c r="J9" s="11"/>
    </row>
    <row r="10" spans="1:11" ht="16.5" thickTop="1">
      <c r="A10" s="23">
        <v>1</v>
      </c>
      <c r="B10" s="2"/>
      <c r="C10" s="2"/>
      <c r="D10" s="3"/>
      <c r="G10" s="10"/>
      <c r="H10" s="11"/>
      <c r="I10" s="11"/>
      <c r="J10" s="11"/>
    </row>
    <row r="11" spans="1:11" ht="15.75">
      <c r="A11" s="23">
        <v>10</v>
      </c>
      <c r="B11" s="2"/>
      <c r="C11" s="2"/>
      <c r="D11" s="3"/>
      <c r="G11" s="10"/>
      <c r="H11" s="11"/>
      <c r="I11" s="11"/>
      <c r="J11" s="11"/>
    </row>
    <row r="12" spans="1:11" ht="15.75">
      <c r="A12" s="23">
        <v>20</v>
      </c>
      <c r="B12" s="2"/>
      <c r="C12" s="2"/>
      <c r="D12" s="3"/>
      <c r="G12" s="10"/>
      <c r="H12" s="11"/>
      <c r="I12" s="11"/>
      <c r="J12" s="11"/>
    </row>
    <row r="13" spans="1:11" ht="16.5" thickBot="1">
      <c r="A13" s="24">
        <v>30</v>
      </c>
      <c r="B13" s="9"/>
      <c r="C13" s="4"/>
      <c r="D13" s="5"/>
    </row>
    <row r="14" spans="1:11" ht="16.5" thickTop="1">
      <c r="A14" s="10"/>
      <c r="B14" s="11"/>
      <c r="C14" s="11"/>
      <c r="D14" s="11"/>
    </row>
    <row r="15" spans="1:11" ht="16.5" thickBot="1">
      <c r="A15" s="12" t="s">
        <v>7</v>
      </c>
      <c r="B15" s="12"/>
      <c r="C15" s="11"/>
      <c r="D15" s="11"/>
    </row>
    <row r="16" spans="1:11" ht="48.75" thickTop="1" thickBot="1">
      <c r="A16" s="6" t="s">
        <v>0</v>
      </c>
      <c r="B16" s="7" t="s">
        <v>1</v>
      </c>
      <c r="C16" s="7" t="s">
        <v>2</v>
      </c>
      <c r="D16" s="8" t="s">
        <v>3</v>
      </c>
    </row>
    <row r="17" spans="1:7" ht="16.5" thickTop="1">
      <c r="A17" s="23">
        <v>1</v>
      </c>
      <c r="B17" s="2"/>
      <c r="C17" s="2"/>
      <c r="D17" s="3"/>
    </row>
    <row r="18" spans="1:7" ht="15.75">
      <c r="A18" s="23">
        <v>10</v>
      </c>
      <c r="B18" s="2"/>
      <c r="C18" s="2"/>
      <c r="D18" s="3"/>
    </row>
    <row r="19" spans="1:7" ht="15.75">
      <c r="A19" s="23">
        <v>20</v>
      </c>
      <c r="B19" s="2"/>
      <c r="C19" s="2"/>
      <c r="D19" s="3"/>
    </row>
    <row r="20" spans="1:7" ht="16.5" thickBot="1">
      <c r="A20" s="24">
        <v>30</v>
      </c>
      <c r="B20" s="9"/>
      <c r="C20" s="4"/>
      <c r="D20" s="5"/>
    </row>
    <row r="21" spans="1:7" ht="16.5" thickTop="1">
      <c r="A21" s="10"/>
      <c r="B21" s="11"/>
      <c r="C21" s="11"/>
      <c r="D21" s="11"/>
    </row>
    <row r="22" spans="1:7" ht="15.75">
      <c r="A22" s="10"/>
      <c r="B22" s="11"/>
      <c r="C22" s="11"/>
      <c r="D22" s="11"/>
    </row>
    <row r="23" spans="1:7" ht="16.5" thickBot="1">
      <c r="A23" s="13" t="s">
        <v>8</v>
      </c>
      <c r="B23" s="13"/>
      <c r="C23" s="14"/>
      <c r="D23" s="11"/>
    </row>
    <row r="24" spans="1:7" ht="48.75" thickTop="1" thickBot="1">
      <c r="A24" s="6" t="s">
        <v>0</v>
      </c>
      <c r="B24" s="7" t="s">
        <v>9</v>
      </c>
      <c r="C24" s="7" t="s">
        <v>12</v>
      </c>
      <c r="D24" s="7" t="s">
        <v>18</v>
      </c>
      <c r="E24" s="7" t="s">
        <v>13</v>
      </c>
      <c r="F24" s="15" t="s">
        <v>3</v>
      </c>
      <c r="G24" s="8" t="s">
        <v>14</v>
      </c>
    </row>
    <row r="25" spans="1:7" ht="16.5" thickTop="1">
      <c r="A25" s="23">
        <v>1</v>
      </c>
      <c r="B25" s="16" t="e">
        <f>AVERAGE(B3,B10,B17)</f>
        <v>#DIV/0!</v>
      </c>
      <c r="C25" s="16" t="e">
        <f>STDEV(B3,B10,B17)</f>
        <v>#DIV/0!</v>
      </c>
      <c r="D25" s="16" t="e">
        <f>AVERAGE(C3,C10,C17)</f>
        <v>#DIV/0!</v>
      </c>
      <c r="E25" s="16" t="e">
        <f>STDEV(C3,C10,C17)</f>
        <v>#DIV/0!</v>
      </c>
      <c r="F25" s="17" t="e">
        <f>AVERAGE(D3,D10,D17)</f>
        <v>#DIV/0!</v>
      </c>
      <c r="G25" s="18" t="e">
        <f>STDEV(D3,D10,D17)</f>
        <v>#DIV/0!</v>
      </c>
    </row>
    <row r="26" spans="1:7" ht="15.75">
      <c r="A26" s="23">
        <v>10</v>
      </c>
      <c r="B26" s="16" t="e">
        <f t="shared" ref="B26:B28" si="0">AVERAGE(B4,B11,B18)</f>
        <v>#DIV/0!</v>
      </c>
      <c r="C26" s="16" t="e">
        <f t="shared" ref="C26:C28" si="1">STDEV(B4,B11,B18)</f>
        <v>#DIV/0!</v>
      </c>
      <c r="D26" s="16" t="e">
        <f t="shared" ref="D26:D28" si="2">AVERAGE(C4,C11,C18)</f>
        <v>#DIV/0!</v>
      </c>
      <c r="E26" s="16" t="e">
        <f t="shared" ref="E26:E28" si="3">STDEV(C4,C11,C18)</f>
        <v>#DIV/0!</v>
      </c>
      <c r="F26" s="17" t="e">
        <f t="shared" ref="F26:F28" si="4">AVERAGE(D4,D11,D18)</f>
        <v>#DIV/0!</v>
      </c>
      <c r="G26" s="18" t="e">
        <f t="shared" ref="G26:G28" si="5">STDEV(D4,D11,D18)</f>
        <v>#DIV/0!</v>
      </c>
    </row>
    <row r="27" spans="1:7" ht="15.75">
      <c r="A27" s="23">
        <v>20</v>
      </c>
      <c r="B27" s="16" t="e">
        <f t="shared" si="0"/>
        <v>#DIV/0!</v>
      </c>
      <c r="C27" s="16" t="e">
        <f t="shared" si="1"/>
        <v>#DIV/0!</v>
      </c>
      <c r="D27" s="16" t="e">
        <f t="shared" si="2"/>
        <v>#DIV/0!</v>
      </c>
      <c r="E27" s="16" t="e">
        <f t="shared" si="3"/>
        <v>#DIV/0!</v>
      </c>
      <c r="F27" s="17" t="e">
        <f t="shared" si="4"/>
        <v>#DIV/0!</v>
      </c>
      <c r="G27" s="19" t="e">
        <f t="shared" si="5"/>
        <v>#DIV/0!</v>
      </c>
    </row>
    <row r="28" spans="1:7" ht="16.5" thickBot="1">
      <c r="A28" s="25">
        <v>30</v>
      </c>
      <c r="B28" s="20" t="e">
        <f t="shared" si="0"/>
        <v>#DIV/0!</v>
      </c>
      <c r="C28" s="20" t="e">
        <f t="shared" si="1"/>
        <v>#DIV/0!</v>
      </c>
      <c r="D28" s="20" t="e">
        <f t="shared" si="2"/>
        <v>#DIV/0!</v>
      </c>
      <c r="E28" s="20" t="e">
        <f t="shared" si="3"/>
        <v>#DIV/0!</v>
      </c>
      <c r="F28" s="20" t="e">
        <f t="shared" si="4"/>
        <v>#DIV/0!</v>
      </c>
      <c r="G28" s="21" t="e">
        <f t="shared" si="5"/>
        <v>#DIV/0!</v>
      </c>
    </row>
    <row r="29" spans="1:7" ht="16.5" thickTop="1">
      <c r="A29" s="10"/>
      <c r="B29" s="11"/>
      <c r="C29" s="11"/>
      <c r="D29" s="11"/>
    </row>
    <row r="30" spans="1:7" ht="15.75">
      <c r="A30" s="10"/>
      <c r="B30" s="11"/>
      <c r="C30" s="11"/>
      <c r="D30" s="11"/>
    </row>
    <row r="31" spans="1:7" ht="15.75">
      <c r="A31" s="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31" workbookViewId="0">
      <selection activeCell="O26" sqref="O26"/>
    </sheetView>
  </sheetViews>
  <sheetFormatPr defaultRowHeight="15"/>
  <cols>
    <col min="2" max="3" width="10.109375" bestFit="1" customWidth="1"/>
    <col min="6" max="7" width="10.109375" bestFit="1" customWidth="1"/>
  </cols>
  <sheetData>
    <row r="1" spans="1:11" ht="16.5" thickBot="1">
      <c r="A1" s="12" t="s">
        <v>5</v>
      </c>
      <c r="B1" s="12"/>
      <c r="C1" s="22" t="s">
        <v>10</v>
      </c>
      <c r="D1" s="22"/>
      <c r="E1" s="22"/>
      <c r="F1" s="26" t="s">
        <v>11</v>
      </c>
      <c r="G1" s="26"/>
      <c r="H1" s="26"/>
      <c r="I1" s="26"/>
      <c r="J1" s="26"/>
      <c r="K1" s="26"/>
    </row>
    <row r="2" spans="1:11" ht="48.75" thickTop="1" thickBot="1">
      <c r="A2" s="6" t="s">
        <v>4</v>
      </c>
      <c r="B2" s="7" t="s">
        <v>1</v>
      </c>
      <c r="C2" s="7" t="s">
        <v>2</v>
      </c>
      <c r="D2" s="8" t="s">
        <v>3</v>
      </c>
    </row>
    <row r="3" spans="1:11" ht="17.25" thickTop="1" thickBot="1">
      <c r="A3" s="24">
        <v>1</v>
      </c>
      <c r="B3" s="2"/>
      <c r="C3" s="2"/>
      <c r="D3" s="3"/>
      <c r="F3" t="s">
        <v>19</v>
      </c>
    </row>
    <row r="4" spans="1:11" ht="17.25" thickTop="1" thickBot="1">
      <c r="A4" s="24">
        <v>3</v>
      </c>
      <c r="B4" s="2"/>
      <c r="C4" s="2"/>
      <c r="D4" s="3"/>
    </row>
    <row r="5" spans="1:11" ht="17.25" thickTop="1" thickBot="1">
      <c r="A5" s="24">
        <v>5</v>
      </c>
      <c r="B5" s="2"/>
      <c r="C5" s="2"/>
      <c r="D5" s="3"/>
    </row>
    <row r="6" spans="1:11" ht="17.25" thickTop="1" thickBot="1">
      <c r="A6" s="24">
        <v>7</v>
      </c>
      <c r="B6" s="9"/>
      <c r="C6" s="4"/>
      <c r="D6" s="5"/>
    </row>
    <row r="7" spans="1:11" ht="16.5" thickTop="1">
      <c r="A7" s="10"/>
      <c r="B7" s="11"/>
      <c r="C7" s="11"/>
      <c r="D7" s="11"/>
      <c r="G7" s="10"/>
      <c r="H7" s="11"/>
      <c r="I7" s="11"/>
      <c r="J7" s="11"/>
    </row>
    <row r="8" spans="1:11" ht="16.5" thickBot="1">
      <c r="A8" s="12" t="s">
        <v>6</v>
      </c>
      <c r="B8" s="12"/>
      <c r="C8" s="11"/>
      <c r="D8" s="11"/>
      <c r="G8" s="10"/>
      <c r="H8" s="11"/>
      <c r="I8" s="11"/>
      <c r="J8" s="11"/>
    </row>
    <row r="9" spans="1:11" ht="48.75" thickTop="1" thickBot="1">
      <c r="A9" s="6" t="s">
        <v>4</v>
      </c>
      <c r="B9" s="7" t="s">
        <v>1</v>
      </c>
      <c r="C9" s="7" t="s">
        <v>2</v>
      </c>
      <c r="D9" s="8" t="s">
        <v>3</v>
      </c>
      <c r="G9" s="10"/>
      <c r="H9" s="11"/>
      <c r="I9" s="11"/>
      <c r="J9" s="11"/>
    </row>
    <row r="10" spans="1:11" ht="17.25" thickTop="1" thickBot="1">
      <c r="A10" s="24">
        <v>1</v>
      </c>
      <c r="B10" s="2"/>
      <c r="C10" s="2"/>
      <c r="D10" s="3"/>
      <c r="G10" s="10"/>
      <c r="H10" s="11"/>
      <c r="I10" s="11"/>
      <c r="J10" s="11"/>
    </row>
    <row r="11" spans="1:11" ht="17.25" thickTop="1" thickBot="1">
      <c r="A11" s="24">
        <v>3</v>
      </c>
      <c r="B11" s="2"/>
      <c r="C11" s="2"/>
      <c r="D11" s="3"/>
      <c r="G11" s="10"/>
      <c r="H11" s="11"/>
      <c r="I11" s="11"/>
      <c r="J11" s="11"/>
    </row>
    <row r="12" spans="1:11" ht="17.25" thickTop="1" thickBot="1">
      <c r="A12" s="24">
        <v>5</v>
      </c>
      <c r="B12" s="2"/>
      <c r="C12" s="2"/>
      <c r="D12" s="3"/>
      <c r="G12" s="10"/>
      <c r="H12" s="11"/>
      <c r="I12" s="11"/>
      <c r="J12" s="11"/>
    </row>
    <row r="13" spans="1:11" ht="17.25" thickTop="1" thickBot="1">
      <c r="A13" s="24">
        <v>7</v>
      </c>
      <c r="B13" s="9"/>
      <c r="C13" s="4"/>
      <c r="D13" s="5"/>
    </row>
    <row r="14" spans="1:11" ht="16.5" thickTop="1">
      <c r="A14" s="10"/>
      <c r="B14" s="11"/>
      <c r="C14" s="11"/>
      <c r="D14" s="11"/>
    </row>
    <row r="15" spans="1:11" ht="16.5" thickBot="1">
      <c r="A15" s="12" t="s">
        <v>7</v>
      </c>
      <c r="B15" s="12"/>
      <c r="C15" s="11"/>
      <c r="D15" s="11"/>
    </row>
    <row r="16" spans="1:11" ht="48.75" thickTop="1" thickBot="1">
      <c r="A16" s="6" t="s">
        <v>4</v>
      </c>
      <c r="B16" s="7" t="s">
        <v>1</v>
      </c>
      <c r="C16" s="7" t="s">
        <v>2</v>
      </c>
      <c r="D16" s="8" t="s">
        <v>3</v>
      </c>
    </row>
    <row r="17" spans="1:7" ht="17.25" thickTop="1" thickBot="1">
      <c r="A17" s="24">
        <v>1</v>
      </c>
      <c r="B17" s="2"/>
      <c r="C17" s="2"/>
      <c r="D17" s="3"/>
    </row>
    <row r="18" spans="1:7" ht="17.25" thickTop="1" thickBot="1">
      <c r="A18" s="24">
        <v>3</v>
      </c>
      <c r="B18" s="2"/>
      <c r="C18" s="2"/>
      <c r="D18" s="3"/>
    </row>
    <row r="19" spans="1:7" ht="17.25" thickTop="1" thickBot="1">
      <c r="A19" s="24">
        <v>5</v>
      </c>
      <c r="B19" s="2"/>
      <c r="C19" s="2"/>
      <c r="D19" s="3"/>
    </row>
    <row r="20" spans="1:7" ht="17.25" thickTop="1" thickBot="1">
      <c r="A20" s="24">
        <v>7</v>
      </c>
      <c r="B20" s="9"/>
      <c r="C20" s="4"/>
      <c r="D20" s="5"/>
    </row>
    <row r="21" spans="1:7" ht="16.5" thickTop="1">
      <c r="A21" s="10"/>
      <c r="B21" s="11"/>
      <c r="C21" s="11"/>
      <c r="D21" s="11"/>
    </row>
    <row r="22" spans="1:7" ht="15.75">
      <c r="A22" s="10"/>
      <c r="B22" s="11"/>
      <c r="C22" s="11"/>
      <c r="D22" s="11"/>
    </row>
    <row r="23" spans="1:7" ht="16.5" thickBot="1">
      <c r="A23" s="13" t="s">
        <v>8</v>
      </c>
      <c r="B23" s="13"/>
      <c r="C23" s="14"/>
      <c r="D23" s="11"/>
    </row>
    <row r="24" spans="1:7" ht="48.75" thickTop="1" thickBot="1">
      <c r="A24" s="6" t="s">
        <v>4</v>
      </c>
      <c r="B24" s="7" t="s">
        <v>9</v>
      </c>
      <c r="C24" s="7" t="s">
        <v>12</v>
      </c>
      <c r="D24" s="7" t="s">
        <v>18</v>
      </c>
      <c r="E24" s="7" t="s">
        <v>13</v>
      </c>
      <c r="F24" s="15" t="s">
        <v>3</v>
      </c>
      <c r="G24" s="8" t="s">
        <v>14</v>
      </c>
    </row>
    <row r="25" spans="1:7" ht="17.25" thickTop="1" thickBot="1">
      <c r="A25" s="24">
        <v>1</v>
      </c>
      <c r="B25" s="16" t="e">
        <f>AVERAGE(B3,B10,B17)</f>
        <v>#DIV/0!</v>
      </c>
      <c r="C25" s="16" t="e">
        <f>STDEV(B3,B10,B17)</f>
        <v>#DIV/0!</v>
      </c>
      <c r="D25" s="16" t="e">
        <f>AVERAGE(C3,C10,C17)</f>
        <v>#DIV/0!</v>
      </c>
      <c r="E25" s="16" t="e">
        <f>STDEV(C3,C10,C17)</f>
        <v>#DIV/0!</v>
      </c>
      <c r="F25" s="17" t="e">
        <f>AVERAGE(D3,D10,D17)</f>
        <v>#DIV/0!</v>
      </c>
      <c r="G25" s="18" t="e">
        <f>STDEV(D3,D10,D17)</f>
        <v>#DIV/0!</v>
      </c>
    </row>
    <row r="26" spans="1:7" ht="17.25" thickTop="1" thickBot="1">
      <c r="A26" s="24">
        <v>3</v>
      </c>
      <c r="B26" s="16" t="e">
        <f t="shared" ref="B26:B28" si="0">AVERAGE(B4,B11,B18)</f>
        <v>#DIV/0!</v>
      </c>
      <c r="C26" s="16" t="e">
        <f t="shared" ref="C26:C28" si="1">STDEV(B4,B11,B18)</f>
        <v>#DIV/0!</v>
      </c>
      <c r="D26" s="16" t="e">
        <f t="shared" ref="D26:D28" si="2">AVERAGE(C4,C11,C18)</f>
        <v>#DIV/0!</v>
      </c>
      <c r="E26" s="16" t="e">
        <f t="shared" ref="E26:E28" si="3">STDEV(C4,C11,C18)</f>
        <v>#DIV/0!</v>
      </c>
      <c r="F26" s="17" t="e">
        <f t="shared" ref="F26:F28" si="4">AVERAGE(D4,D11,D18)</f>
        <v>#DIV/0!</v>
      </c>
      <c r="G26" s="18" t="e">
        <f t="shared" ref="G26:G28" si="5">STDEV(D4,D11,D18)</f>
        <v>#DIV/0!</v>
      </c>
    </row>
    <row r="27" spans="1:7" ht="17.25" thickTop="1" thickBot="1">
      <c r="A27" s="24">
        <v>5</v>
      </c>
      <c r="B27" s="16" t="e">
        <f t="shared" si="0"/>
        <v>#DIV/0!</v>
      </c>
      <c r="C27" s="16" t="e">
        <f t="shared" si="1"/>
        <v>#DIV/0!</v>
      </c>
      <c r="D27" s="16" t="e">
        <f t="shared" si="2"/>
        <v>#DIV/0!</v>
      </c>
      <c r="E27" s="16" t="e">
        <f t="shared" si="3"/>
        <v>#DIV/0!</v>
      </c>
      <c r="F27" s="17" t="e">
        <f t="shared" si="4"/>
        <v>#DIV/0!</v>
      </c>
      <c r="G27" s="19" t="e">
        <f t="shared" si="5"/>
        <v>#DIV/0!</v>
      </c>
    </row>
    <row r="28" spans="1:7" ht="17.25" thickTop="1" thickBot="1">
      <c r="A28" s="24">
        <v>7</v>
      </c>
      <c r="B28" s="20" t="e">
        <f t="shared" si="0"/>
        <v>#DIV/0!</v>
      </c>
      <c r="C28" s="20" t="e">
        <f t="shared" si="1"/>
        <v>#DIV/0!</v>
      </c>
      <c r="D28" s="20" t="e">
        <f t="shared" si="2"/>
        <v>#DIV/0!</v>
      </c>
      <c r="E28" s="20" t="e">
        <f t="shared" si="3"/>
        <v>#DIV/0!</v>
      </c>
      <c r="F28" s="20" t="e">
        <f t="shared" si="4"/>
        <v>#DIV/0!</v>
      </c>
      <c r="G28" s="21" t="e">
        <f t="shared" si="5"/>
        <v>#DIV/0!</v>
      </c>
    </row>
    <row r="29" spans="1:7" ht="16.5" thickTop="1">
      <c r="A29" s="10"/>
      <c r="B29" s="11"/>
      <c r="C29" s="11"/>
      <c r="D29" s="11"/>
    </row>
    <row r="30" spans="1:7" ht="15.75">
      <c r="A30" s="10"/>
      <c r="B30" s="11"/>
      <c r="C30" s="11"/>
      <c r="D30" s="11"/>
    </row>
    <row r="31" spans="1:7" ht="15.75">
      <c r="A31" s="1"/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opLeftCell="A19" workbookViewId="0">
      <selection activeCell="P51" sqref="P51"/>
    </sheetView>
  </sheetViews>
  <sheetFormatPr defaultRowHeight="15"/>
  <cols>
    <col min="2" max="3" width="10.109375" bestFit="1" customWidth="1"/>
    <col min="6" max="7" width="10.109375" bestFit="1" customWidth="1"/>
  </cols>
  <sheetData>
    <row r="1" spans="1:11" ht="16.5" thickBot="1">
      <c r="A1" s="12" t="s">
        <v>5</v>
      </c>
      <c r="B1" s="12"/>
      <c r="C1" s="22" t="s">
        <v>10</v>
      </c>
      <c r="D1" s="22"/>
      <c r="E1" s="22"/>
      <c r="F1" s="26" t="s">
        <v>11</v>
      </c>
      <c r="G1" s="26"/>
      <c r="H1" s="26"/>
      <c r="I1" s="26"/>
      <c r="J1" s="26"/>
      <c r="K1" s="26"/>
    </row>
    <row r="2" spans="1:11" ht="48.75" thickTop="1" thickBot="1">
      <c r="A2" s="6" t="s">
        <v>15</v>
      </c>
      <c r="B2" s="7" t="s">
        <v>1</v>
      </c>
      <c r="C2" s="7" t="s">
        <v>2</v>
      </c>
      <c r="D2" s="8" t="s">
        <v>3</v>
      </c>
    </row>
    <row r="3" spans="1:11" ht="17.25" thickTop="1" thickBot="1">
      <c r="A3" s="24" t="s">
        <v>16</v>
      </c>
      <c r="B3" s="2"/>
      <c r="C3" s="2"/>
      <c r="D3" s="3"/>
      <c r="F3" t="s">
        <v>19</v>
      </c>
    </row>
    <row r="4" spans="1:11" ht="17.25" thickTop="1" thickBot="1">
      <c r="A4" s="24" t="s">
        <v>17</v>
      </c>
      <c r="B4" s="9"/>
      <c r="C4" s="4"/>
      <c r="D4" s="5"/>
    </row>
    <row r="5" spans="1:11" ht="16.5" thickTop="1">
      <c r="A5" s="10"/>
      <c r="B5" s="11"/>
      <c r="C5" s="11"/>
      <c r="D5" s="11"/>
      <c r="G5" s="10"/>
      <c r="H5" s="11"/>
      <c r="I5" s="11"/>
      <c r="J5" s="11"/>
    </row>
    <row r="6" spans="1:11" ht="16.5" thickBot="1">
      <c r="A6" s="12" t="s">
        <v>6</v>
      </c>
      <c r="B6" s="12"/>
      <c r="C6" s="11"/>
      <c r="D6" s="11"/>
      <c r="G6" s="10"/>
      <c r="H6" s="11"/>
      <c r="I6" s="11"/>
      <c r="J6" s="11"/>
    </row>
    <row r="7" spans="1:11" ht="48.75" thickTop="1" thickBot="1">
      <c r="A7" s="6" t="s">
        <v>15</v>
      </c>
      <c r="B7" s="7" t="s">
        <v>1</v>
      </c>
      <c r="C7" s="7" t="s">
        <v>2</v>
      </c>
      <c r="D7" s="8" t="s">
        <v>3</v>
      </c>
      <c r="G7" s="10"/>
      <c r="H7" s="11"/>
      <c r="I7" s="11"/>
      <c r="J7" s="11"/>
    </row>
    <row r="8" spans="1:11" ht="17.25" thickTop="1" thickBot="1">
      <c r="A8" s="24" t="s">
        <v>16</v>
      </c>
      <c r="B8" s="2"/>
      <c r="C8" s="2"/>
      <c r="D8" s="3"/>
      <c r="G8" s="10"/>
      <c r="H8" s="11"/>
      <c r="I8" s="11"/>
      <c r="J8" s="11"/>
    </row>
    <row r="9" spans="1:11" ht="17.25" thickTop="1" thickBot="1">
      <c r="A9" s="24" t="s">
        <v>17</v>
      </c>
      <c r="B9" s="9"/>
      <c r="C9" s="4"/>
      <c r="D9" s="5"/>
    </row>
    <row r="10" spans="1:11" ht="16.5" thickTop="1">
      <c r="A10" s="10"/>
      <c r="B10" s="11"/>
      <c r="C10" s="11"/>
      <c r="D10" s="11"/>
    </row>
    <row r="11" spans="1:11" ht="16.5" thickBot="1">
      <c r="A11" s="12" t="s">
        <v>7</v>
      </c>
      <c r="B11" s="12"/>
      <c r="C11" s="11"/>
      <c r="D11" s="11"/>
    </row>
    <row r="12" spans="1:11" ht="48.75" thickTop="1" thickBot="1">
      <c r="A12" s="6" t="s">
        <v>15</v>
      </c>
      <c r="B12" s="7" t="s">
        <v>1</v>
      </c>
      <c r="C12" s="7" t="s">
        <v>2</v>
      </c>
      <c r="D12" s="8" t="s">
        <v>3</v>
      </c>
    </row>
    <row r="13" spans="1:11" ht="17.25" thickTop="1" thickBot="1">
      <c r="A13" s="24" t="s">
        <v>16</v>
      </c>
      <c r="B13" s="2"/>
      <c r="C13" s="2"/>
      <c r="D13" s="3"/>
    </row>
    <row r="14" spans="1:11" ht="17.25" thickTop="1" thickBot="1">
      <c r="A14" s="24" t="s">
        <v>17</v>
      </c>
      <c r="B14" s="9"/>
      <c r="C14" s="4"/>
      <c r="D14" s="5"/>
    </row>
    <row r="15" spans="1:11" ht="16.5" thickTop="1">
      <c r="A15" s="10"/>
      <c r="B15" s="11"/>
      <c r="C15" s="11"/>
      <c r="D15" s="11"/>
    </row>
    <row r="16" spans="1:11" ht="15.75">
      <c r="A16" s="10"/>
      <c r="B16" s="11"/>
      <c r="C16" s="11"/>
      <c r="D16" s="11"/>
    </row>
    <row r="17" spans="1:7" ht="16.5" thickBot="1">
      <c r="A17" s="13" t="s">
        <v>8</v>
      </c>
      <c r="B17" s="13"/>
      <c r="C17" s="14"/>
      <c r="D17" s="11"/>
    </row>
    <row r="18" spans="1:7" ht="48.75" thickTop="1" thickBot="1">
      <c r="A18" s="6" t="s">
        <v>15</v>
      </c>
      <c r="B18" s="7" t="s">
        <v>9</v>
      </c>
      <c r="C18" s="7" t="s">
        <v>12</v>
      </c>
      <c r="D18" s="7" t="s">
        <v>18</v>
      </c>
      <c r="E18" s="7" t="s">
        <v>13</v>
      </c>
      <c r="F18" s="15" t="s">
        <v>3</v>
      </c>
      <c r="G18" s="8" t="s">
        <v>14</v>
      </c>
    </row>
    <row r="19" spans="1:7" ht="17.25" thickTop="1" thickBot="1">
      <c r="A19" s="24" t="s">
        <v>16</v>
      </c>
      <c r="B19" s="16" t="e">
        <f>AVERAGE(B3,B8,B13)</f>
        <v>#DIV/0!</v>
      </c>
      <c r="C19" s="16" t="e">
        <f>STDEV(B3,B8,B13)</f>
        <v>#DIV/0!</v>
      </c>
      <c r="D19" s="16" t="e">
        <f>AVERAGE(C3,C8,C13)</f>
        <v>#DIV/0!</v>
      </c>
      <c r="E19" s="16" t="e">
        <f>STDEV(C3,C8,C13)</f>
        <v>#DIV/0!</v>
      </c>
      <c r="F19" s="17" t="e">
        <f>AVERAGE(D3,D8,D13)</f>
        <v>#DIV/0!</v>
      </c>
      <c r="G19" s="18" t="e">
        <f>STDEV(D3,D8,D13)</f>
        <v>#DIV/0!</v>
      </c>
    </row>
    <row r="20" spans="1:7" ht="17.25" thickTop="1" thickBot="1">
      <c r="A20" s="24" t="s">
        <v>17</v>
      </c>
      <c r="B20" s="16" t="e">
        <f>AVERAGE(B4,B9,B14)</f>
        <v>#DIV/0!</v>
      </c>
      <c r="C20" s="16" t="e">
        <f>STDEV(B4,B9,B14)</f>
        <v>#DIV/0!</v>
      </c>
      <c r="D20" s="16" t="e">
        <f>AVERAGE(C4,C9,C14)</f>
        <v>#DIV/0!</v>
      </c>
      <c r="E20" s="16" t="e">
        <f>STDEV(C4,C9,C14)</f>
        <v>#DIV/0!</v>
      </c>
      <c r="F20" s="17" t="e">
        <f>AVERAGE(D4,D9,D14)</f>
        <v>#DIV/0!</v>
      </c>
      <c r="G20" s="18" t="e">
        <f>STDEV(D4,D9,D14)</f>
        <v>#DIV/0!</v>
      </c>
    </row>
    <row r="21" spans="1:7" ht="16.5" thickTop="1">
      <c r="A21" s="10"/>
      <c r="B21" s="11"/>
      <c r="C21" s="11"/>
      <c r="D21" s="11"/>
    </row>
    <row r="22" spans="1:7" ht="15.75">
      <c r="A22" s="10"/>
      <c r="B22" s="11"/>
      <c r="C22" s="11"/>
      <c r="D22" s="11"/>
    </row>
    <row r="23" spans="1:7" ht="15.75">
      <c r="A23" s="1"/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Q13" sqref="Q13"/>
    </sheetView>
  </sheetViews>
  <sheetFormatPr defaultRowHeight="15"/>
  <cols>
    <col min="2" max="3" width="10.109375" bestFit="1" customWidth="1"/>
    <col min="6" max="7" width="10.109375" bestFit="1" customWidth="1"/>
  </cols>
  <sheetData>
    <row r="1" spans="1:10" ht="16.5" thickBot="1">
      <c r="A1" s="12" t="s">
        <v>21</v>
      </c>
      <c r="B1" s="12"/>
      <c r="C1" s="12"/>
      <c r="D1" s="29" t="s">
        <v>24</v>
      </c>
      <c r="E1" s="26"/>
      <c r="F1" s="26"/>
      <c r="G1" s="26"/>
      <c r="H1" s="26"/>
      <c r="I1" s="26"/>
    </row>
    <row r="2" spans="1:10" ht="48.75" thickTop="1" thickBot="1">
      <c r="A2" s="6" t="s">
        <v>20</v>
      </c>
      <c r="B2" s="8" t="s">
        <v>1</v>
      </c>
      <c r="D2" s="28"/>
    </row>
    <row r="3" spans="1:10" ht="17.25" thickTop="1" thickBot="1">
      <c r="A3" s="24">
        <v>0</v>
      </c>
      <c r="B3" s="27"/>
      <c r="D3" s="28" t="s">
        <v>23</v>
      </c>
    </row>
    <row r="4" spans="1:10" ht="17.25" thickTop="1" thickBot="1">
      <c r="A4" s="24">
        <v>150</v>
      </c>
      <c r="B4" s="3"/>
    </row>
    <row r="5" spans="1:10" ht="17.25" thickTop="1" thickBot="1">
      <c r="A5" s="24">
        <v>300</v>
      </c>
      <c r="B5" s="5"/>
    </row>
    <row r="6" spans="1:10" ht="16.5" thickTop="1">
      <c r="A6" s="10"/>
      <c r="B6" s="11"/>
      <c r="C6" s="11"/>
      <c r="D6" s="11"/>
      <c r="G6" s="10"/>
      <c r="H6" s="11"/>
      <c r="I6" s="11"/>
      <c r="J6" s="11"/>
    </row>
    <row r="7" spans="1:10" ht="16.5" thickBot="1">
      <c r="A7" s="12" t="s">
        <v>22</v>
      </c>
      <c r="B7" s="12"/>
      <c r="C7" s="12"/>
      <c r="D7" s="11"/>
      <c r="G7" s="10"/>
      <c r="H7" s="11"/>
      <c r="I7" s="11"/>
      <c r="J7" s="11"/>
    </row>
    <row r="8" spans="1:10" ht="48.75" thickTop="1" thickBot="1">
      <c r="A8" s="6" t="s">
        <v>20</v>
      </c>
      <c r="B8" s="8" t="s">
        <v>1</v>
      </c>
      <c r="G8" s="10"/>
      <c r="H8" s="11"/>
      <c r="I8" s="11"/>
      <c r="J8" s="11"/>
    </row>
    <row r="9" spans="1:10" ht="17.25" thickTop="1" thickBot="1">
      <c r="A9" s="24">
        <v>0</v>
      </c>
      <c r="B9" s="27"/>
      <c r="G9" s="10"/>
      <c r="H9" s="11"/>
      <c r="I9" s="11"/>
      <c r="J9" s="11"/>
    </row>
    <row r="10" spans="1:10" ht="17.25" thickTop="1" thickBot="1">
      <c r="A10" s="24">
        <v>150</v>
      </c>
      <c r="B10" s="3"/>
      <c r="G10" s="10"/>
      <c r="H10" s="11"/>
      <c r="I10" s="11"/>
      <c r="J10" s="11"/>
    </row>
    <row r="11" spans="1:10" ht="17.25" thickTop="1" thickBot="1">
      <c r="A11" s="24">
        <v>300</v>
      </c>
      <c r="B11" s="5"/>
    </row>
    <row r="12" spans="1:10" ht="16.5" thickTop="1">
      <c r="A12" s="10"/>
      <c r="B12" s="11"/>
      <c r="C12" s="11"/>
      <c r="D12" s="11"/>
    </row>
    <row r="13" spans="1:10" ht="15.75">
      <c r="A13" s="10"/>
      <c r="B13" s="11"/>
      <c r="C13" s="11"/>
      <c r="D13" s="11"/>
    </row>
    <row r="14" spans="1:10" ht="15.75">
      <c r="A14" s="10"/>
      <c r="B14" s="11"/>
      <c r="C14" s="11"/>
      <c r="D14" s="11"/>
    </row>
    <row r="15" spans="1:10" ht="15.75">
      <c r="A15" s="10"/>
      <c r="B15" s="11"/>
      <c r="C15" s="11"/>
      <c r="D15" s="11"/>
    </row>
    <row r="16" spans="1:10" ht="15.75">
      <c r="A16" s="10"/>
      <c r="B16" s="11"/>
      <c r="C16" s="11"/>
      <c r="D16" s="11"/>
    </row>
    <row r="17" spans="1:1" ht="15.75">
      <c r="A17" s="1"/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 1</vt:lpstr>
      <vt:lpstr>Exercise 2</vt:lpstr>
      <vt:lpstr>Exercise 3</vt:lpstr>
      <vt:lpstr>Exercise 4</vt:lpstr>
    </vt:vector>
  </TitlesOfParts>
  <Company>USDA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Gustafson</dc:creator>
  <cp:lastModifiedBy>Gergel, Sarah</cp:lastModifiedBy>
  <dcterms:created xsi:type="dcterms:W3CDTF">2002-10-23T20:56:02Z</dcterms:created>
  <dcterms:modified xsi:type="dcterms:W3CDTF">2016-09-29T00:38:46Z</dcterms:modified>
</cp:coreProperties>
</file>